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-private\"/>
    </mc:Choice>
  </mc:AlternateContent>
  <xr:revisionPtr revIDLastSave="0" documentId="13_ncr:1_{F11E3F78-B3CD-455B-AD79-15D6FE5572B5}" xr6:coauthVersionLast="47" xr6:coauthVersionMax="47" xr10:uidLastSave="{00000000-0000-0000-0000-000000000000}"/>
  <bookViews>
    <workbookView xWindow="28680" yWindow="-120" windowWidth="29040" windowHeight="15720" tabRatio="901" activeTab="5" xr2:uid="{00000000-000D-0000-FFFF-FFFF00000000}"/>
  </bookViews>
  <sheets>
    <sheet name="EB2" sheetId="133" r:id="rId1"/>
    <sheet name="RES_TRA" sheetId="153" r:id="rId2"/>
    <sheet name="Sector_Fuels_TRA" sheetId="152" r:id="rId3"/>
    <sheet name="DemTechs_TRA" sheetId="141" r:id="rId4"/>
    <sheet name="Demands" sheetId="134" r:id="rId5"/>
    <sheet name="Emi" sheetId="149" r:id="rId6"/>
  </sheets>
  <externalReferences>
    <externalReference r:id="rId7"/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E14" i="141"/>
  <c r="M14" i="141" s="1"/>
  <c r="H9" i="133"/>
  <c r="I9" i="133"/>
  <c r="E15" i="141"/>
  <c r="M15" i="141" s="1"/>
  <c r="J9" i="133"/>
  <c r="E22" i="141" s="1"/>
  <c r="M22" i="141" s="1"/>
  <c r="K9" i="133"/>
  <c r="L9" i="133"/>
  <c r="M9" i="133"/>
  <c r="N9" i="133"/>
  <c r="O9" i="133"/>
  <c r="E23" i="141" s="1"/>
  <c r="M23" i="141" s="1"/>
  <c r="E17" i="141"/>
  <c r="M17" i="141" s="1"/>
  <c r="P9" i="133"/>
  <c r="Q9" i="133"/>
  <c r="R9" i="133"/>
  <c r="S9" i="133"/>
  <c r="T9" i="133"/>
  <c r="T13" i="133" s="1"/>
  <c r="U9" i="133"/>
  <c r="E18" i="141" s="1"/>
  <c r="M18" i="141" s="1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G26" i="133"/>
  <c r="E20" i="141" s="1"/>
  <c r="M20" i="141" s="1"/>
  <c r="I26" i="133"/>
  <c r="J26" i="133"/>
  <c r="U26" i="133"/>
  <c r="F2" i="152"/>
  <c r="E2" i="152"/>
  <c r="O18" i="152" s="1"/>
  <c r="T24" i="141"/>
  <c r="T22" i="141"/>
  <c r="T21" i="141"/>
  <c r="T20" i="141"/>
  <c r="T19" i="141"/>
  <c r="T18" i="141"/>
  <c r="T13" i="141"/>
  <c r="E2" i="134"/>
  <c r="E8" i="134" s="1"/>
  <c r="S7" i="141"/>
  <c r="C2" i="152"/>
  <c r="M9" i="152" s="1"/>
  <c r="M20" i="152" s="1"/>
  <c r="M6" i="152"/>
  <c r="M17" i="152" s="1"/>
  <c r="B2" i="152"/>
  <c r="L5" i="152" s="1"/>
  <c r="L7" i="152"/>
  <c r="D18" i="152" s="1"/>
  <c r="C18" i="152" s="1"/>
  <c r="L10" i="152"/>
  <c r="D21" i="152" s="1"/>
  <c r="C21" i="152" s="1"/>
  <c r="T16" i="141"/>
  <c r="T15" i="141"/>
  <c r="T14" i="141"/>
  <c r="E12" i="141"/>
  <c r="E2" i="141"/>
  <c r="C2" i="141"/>
  <c r="R23" i="141" s="1"/>
  <c r="B2" i="141"/>
  <c r="Q22" i="141" s="1"/>
  <c r="B22" i="141" s="1"/>
  <c r="C22" i="141" s="1"/>
  <c r="Q17" i="141"/>
  <c r="B17" i="141" s="1"/>
  <c r="C17" i="141" s="1"/>
  <c r="F2" i="141"/>
  <c r="I12" i="141" s="1"/>
  <c r="G2" i="134"/>
  <c r="M7" i="152"/>
  <c r="M18" i="152" s="1"/>
  <c r="R13" i="141"/>
  <c r="Q20" i="141"/>
  <c r="B20" i="141" s="1"/>
  <c r="C20" i="141" s="1"/>
  <c r="R19" i="141"/>
  <c r="M8" i="152"/>
  <c r="M19" i="152" s="1"/>
  <c r="M10" i="152"/>
  <c r="M21" i="152" s="1"/>
  <c r="N21" i="152"/>
  <c r="E13" i="141"/>
  <c r="M13" i="141"/>
  <c r="N13" i="133"/>
  <c r="V10" i="133"/>
  <c r="Q6" i="141"/>
  <c r="D19" i="141" s="1"/>
  <c r="Q15" i="141"/>
  <c r="B15" i="141" s="1"/>
  <c r="C15" i="141" s="1"/>
  <c r="Q13" i="141"/>
  <c r="B13" i="141" s="1"/>
  <c r="C13" i="141" s="1"/>
  <c r="Q16" i="141"/>
  <c r="B16" i="141" s="1"/>
  <c r="C16" i="141" s="1"/>
  <c r="Q14" i="141"/>
  <c r="B14" i="141" s="1"/>
  <c r="C14" i="141" s="1"/>
  <c r="L16" i="152" l="1"/>
  <c r="B16" i="152" s="1"/>
  <c r="C6" i="149"/>
  <c r="D16" i="152"/>
  <c r="C16" i="152" s="1"/>
  <c r="L6" i="152"/>
  <c r="V12" i="133"/>
  <c r="V8" i="133"/>
  <c r="S13" i="133"/>
  <c r="E19" i="141"/>
  <c r="M19" i="141" s="1"/>
  <c r="V9" i="133"/>
  <c r="L9" i="152"/>
  <c r="L8" i="152"/>
  <c r="N6" i="152"/>
  <c r="M13" i="133"/>
  <c r="N9" i="152"/>
  <c r="N5" i="152"/>
  <c r="L13" i="133"/>
  <c r="C10" i="134"/>
  <c r="Q23" i="141"/>
  <c r="B23" i="141" s="1"/>
  <c r="H15" i="134"/>
  <c r="N18" i="152"/>
  <c r="Q24" i="141"/>
  <c r="B24" i="141" s="1"/>
  <c r="N17" i="152"/>
  <c r="J13" i="133"/>
  <c r="Q5" i="141"/>
  <c r="N8" i="152"/>
  <c r="O13" i="133"/>
  <c r="D21" i="141"/>
  <c r="C24" i="141"/>
  <c r="O20" i="152"/>
  <c r="D24" i="141"/>
  <c r="M5" i="152"/>
  <c r="M16" i="152" s="1"/>
  <c r="O21" i="152"/>
  <c r="Q19" i="141"/>
  <c r="B19" i="141" s="1"/>
  <c r="C19" i="141" s="1"/>
  <c r="D23" i="141"/>
  <c r="L18" i="152"/>
  <c r="B18" i="152" s="1"/>
  <c r="N19" i="152"/>
  <c r="H16" i="134"/>
  <c r="E6" i="149"/>
  <c r="D22" i="141"/>
  <c r="E16" i="141"/>
  <c r="M16" i="141" s="1"/>
  <c r="E9" i="134" s="1"/>
  <c r="D20" i="141"/>
  <c r="K13" i="133"/>
  <c r="I13" i="133"/>
  <c r="H13" i="133"/>
  <c r="E13" i="133"/>
  <c r="N20" i="152"/>
  <c r="G13" i="133"/>
  <c r="E21" i="141"/>
  <c r="M21" i="141" s="1"/>
  <c r="V7" i="133"/>
  <c r="V6" i="133"/>
  <c r="V11" i="133"/>
  <c r="U13" i="133"/>
  <c r="H10" i="134"/>
  <c r="D18" i="141"/>
  <c r="D13" i="133"/>
  <c r="V5" i="133"/>
  <c r="V13" i="133" s="1"/>
  <c r="R18" i="141"/>
  <c r="R21" i="141"/>
  <c r="R24" i="141"/>
  <c r="H13" i="134"/>
  <c r="Q18" i="141"/>
  <c r="B18" i="141" s="1"/>
  <c r="C18" i="141" s="1"/>
  <c r="N16" i="152"/>
  <c r="O19" i="152"/>
  <c r="R6" i="141"/>
  <c r="F13" i="133"/>
  <c r="H14" i="134"/>
  <c r="D13" i="141"/>
  <c r="R16" i="141"/>
  <c r="N10" i="152"/>
  <c r="E24" i="141"/>
  <c r="M24" i="141" s="1"/>
  <c r="E10" i="134" s="1"/>
  <c r="H12" i="134"/>
  <c r="Q7" i="141"/>
  <c r="B8" i="149" s="1"/>
  <c r="Q21" i="141"/>
  <c r="B21" i="141" s="1"/>
  <c r="C21" i="141" s="1"/>
  <c r="C23" i="141"/>
  <c r="R15" i="141"/>
  <c r="O17" i="152"/>
  <c r="N7" i="152"/>
  <c r="R5" i="141"/>
  <c r="F15" i="152"/>
  <c r="O16" i="152"/>
  <c r="R20" i="141"/>
  <c r="R14" i="141"/>
  <c r="R7" i="141"/>
  <c r="R17" i="141"/>
  <c r="L21" i="152"/>
  <c r="B21" i="152" s="1"/>
  <c r="R22" i="141"/>
  <c r="D20" i="152" l="1"/>
  <c r="C20" i="152" s="1"/>
  <c r="L20" i="152"/>
  <c r="B20" i="152" s="1"/>
  <c r="D17" i="152"/>
  <c r="C17" i="152" s="1"/>
  <c r="L17" i="152"/>
  <c r="B17" i="152" s="1"/>
  <c r="D6" i="149"/>
  <c r="H11" i="134"/>
  <c r="D14" i="141"/>
  <c r="D15" i="141"/>
  <c r="D17" i="141"/>
  <c r="D16" i="141"/>
  <c r="C9" i="134"/>
  <c r="F6" i="149"/>
  <c r="D19" i="152"/>
  <c r="C19" i="152" s="1"/>
  <c r="L19" i="152"/>
  <c r="B19" i="152" s="1"/>
  <c r="H9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<sst xmlns="http://schemas.openxmlformats.org/spreadsheetml/2006/main" count="354" uniqueCount="194">
  <si>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</si>
  <si>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</si>
  <si>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</si>
  <si>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</si>
  <si>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</si>
  <si>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</si>
  <si>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</si>
  <si>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</si>
  <si>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</si>
  <si>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</si>
  <si>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</si>
  <si>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</si>
  <si>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</si>
  <si>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</si>
  <si>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</si>
  <si>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</si>
  <si>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</si>
  <si>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</si>
  <si>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</si>
  <si>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</si>
  <si>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</si>
  <si>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</si>
  <si>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</si>
  <si>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</si>
  <si>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</si>
  <si>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</si>
  <si>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</si>
  <si>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</si>
  <si>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</si>
  <si>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</si>
  <si>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</si>
  <si>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</si>
  <si>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</si>
  <si>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</si>
  <si>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</si>
  <si>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</si>
  <si>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</si>
  <si>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</si>
  <si>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</si>
  <si>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</si>
  <si>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</si>
  <si>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</si>
  <si>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</si>
  <si>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</si>
  <si>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</si>
  <si>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</si>
  <si>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</si>
  <si>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</si>
  <si>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</si>
  <si>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</si>
  <si>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</si>
  <si>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</si>
  <si>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</si>
  <si>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</si>
  <si>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</si>
  <si>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</si>
  <si>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</si>
  <si>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</si>
  <si>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</si>
  <si>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</si>
  <si>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</si>
  <si>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</si>
  <si>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</si>
  <si>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</si>
  <si>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</si>
  <si>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</si>
  <si>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</si>
  <si>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</si>
  <si>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</si>
  <si>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</si>
  <si>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</si>
  <si>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</si>
  <si>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</si>
  <si>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</si>
  <si>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</si>
  <si>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</si>
  <si>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</si>
  <si>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</si>
  <si>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</si>
  <si>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</si>
  <si>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</si>
  <si>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</si>
  <si>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</si>
  <si>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</si>
  <si>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</si>
  <si>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</si>
  <si>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</si>
  <si>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</si>
  <si>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</si>
  <si>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</si>
  <si>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</si>
  <si>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</si>
  <si>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</si>
  <si>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</si>
  <si>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</si>
  <si>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</si>
  <si>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</si>
  <si>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</si>
  <si>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</si>
  <si>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</si>
  <si>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</si>
  <si>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</si>
  <si>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</si>
  <si>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</si>
  <si>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</si>
  <si>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</si>
  <si>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</si>
  <si>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</si>
  <si>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</si>
  <si>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</si>
  <si>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</si>
  <si>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</si>
  <si>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</si>
  <si>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</si>
  <si>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</si>
  <si>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</si>
  <si>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</si>
  <si>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</si>
  <si>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</si>
  <si>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</si>
  <si>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</si>
  <si>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</si>
  <si>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</si>
  <si>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</si>
  <si>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</si>
  <si>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</si>
  <si>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</si>
  <si>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</si>
  <si>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</si>
  <si>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</si>
  <si>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</si>
  <si>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</si>
  <si>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</si>
  <si>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</si>
  <si>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</si>
  <si>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</si>
  <si>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</si>
  <si>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</si>
  <si>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</si>
  <si>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</si>
  <si>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</si>
  <si>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</si>
  <si>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</si>
  <si>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</si>
  <si>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</si>
  <si>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</si>
  <si>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</si>
  <si>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</si>
  <si>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</si>
  <si>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</si>
  <si>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</si>
  <si>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</si>
  <si>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</si>
  <si>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</si>
  <si>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</si>
  <si>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</si>
  <si>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</si>
  <si>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</si>
  <si>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</si>
  <si>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</si>
  <si>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</si>
  <si>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</si>
  <si>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</si>
  <si>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</si>
  <si>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</si>
  <si>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</si>
  <si>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</si>
  <si>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</si>
  <si>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</si>
  <si>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</si>
  <si>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</si>
  <si>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</si>
  <si>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</si>
  <si>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</si>
  <si>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</si>
  <si>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</si>
  <si>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</si>
  <si>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</si>
  <si>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</si>
  <si>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</si>
  <si>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</si>
  <si>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</si>
  <si>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</si>
  <si>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</si>
  <si>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</si>
  <si>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kj;</t>
  </si>
  <si>
    <t>kl</t>
  </si>
  <si>
    <t>l</t>
  </si>
  <si>
    <t>kl;'</t>
  </si>
  <si>
    <t>;'</t>
  </si>
  <si>
    <t/>
  </si>
  <si>
    <t>;</t>
  </si>
  <si>
    <t>k;l</t>
  </si>
  <si>
    <t>;k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</si>
</sst>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17" applyNumberFormat="0" applyAlignment="0" applyProtection="0"/>
    <xf numFmtId="164" fontId="14" fillId="0" borderId="0" applyFont="0" applyFill="0" applyBorder="0" applyAlignment="0" applyProtection="0"/>
    <xf numFmtId="0" fontId="17" fillId="10" borderId="0" applyNumberFormat="0" applyBorder="0" applyAlignment="0" applyProtection="0"/>
    <xf numFmtId="0" fontId="18" fillId="11" borderId="17" applyNumberFormat="0" applyAlignment="0" applyProtection="0"/>
    <xf numFmtId="0" fontId="19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3" applyAlignment="1">
      <alignment horizontal="right"/>
    </xf>
    <xf numFmtId="0" fontId="5" fillId="0" borderId="0" xfId="13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8" borderId="0" xfId="5"/>
    <xf numFmtId="0" fontId="20" fillId="0" borderId="0" xfId="8" applyFont="1" applyFill="1"/>
    <xf numFmtId="0" fontId="20" fillId="13" borderId="0" xfId="8" applyFont="1" applyFill="1"/>
    <xf numFmtId="0" fontId="4" fillId="0" borderId="0" xfId="10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3" applyFont="1" applyFill="1" applyBorder="1" applyAlignment="1">
      <alignment horizontal="left" vertical="center"/>
    </xf>
    <xf numFmtId="0" fontId="20" fillId="13" borderId="0" xfId="8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8" applyFont="1" applyBorder="1" applyAlignment="1"/>
    <xf numFmtId="0" fontId="3" fillId="0" borderId="0" xfId="0" applyFont="1"/>
    <xf numFmtId="0" fontId="4" fillId="0" borderId="0" xfId="11"/>
    <xf numFmtId="0" fontId="4" fillId="0" borderId="0" xfId="11" applyAlignment="1">
      <alignment wrapText="1"/>
    </xf>
    <xf numFmtId="0" fontId="3" fillId="0" borderId="0" xfId="13" applyFont="1" applyAlignment="1">
      <alignment horizontal="right" vertical="center" wrapText="1"/>
    </xf>
    <xf numFmtId="1" fontId="4" fillId="0" borderId="0" xfId="11" applyNumberFormat="1"/>
    <xf numFmtId="0" fontId="4" fillId="0" borderId="2" xfId="0" applyFont="1" applyBorder="1"/>
    <xf numFmtId="0" fontId="4" fillId="0" borderId="2" xfId="11" applyBorder="1"/>
    <xf numFmtId="1" fontId="24" fillId="14" borderId="0" xfId="2" applyNumberFormat="1" applyFont="1" applyFill="1" applyBorder="1" applyAlignment="1">
      <alignment horizontal="right" wrapText="1"/>
    </xf>
    <xf numFmtId="0" fontId="15" fillId="0" borderId="0" xfId="5" applyFill="1"/>
    <xf numFmtId="0" fontId="20" fillId="13" borderId="0" xfId="8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3" applyFont="1" applyAlignment="1">
      <alignment horizontal="left" vertical="center"/>
    </xf>
    <xf numFmtId="0" fontId="3" fillId="2" borderId="3" xfId="13" applyFont="1" applyFill="1" applyBorder="1" applyAlignment="1">
      <alignment horizontal="left" vertical="center"/>
    </xf>
    <xf numFmtId="0" fontId="25" fillId="0" borderId="0" xfId="0" applyFont="1"/>
    <xf numFmtId="0" fontId="20" fillId="13" borderId="0" xfId="8" applyFont="1" applyFill="1" applyAlignment="1">
      <alignment horizontal="left"/>
    </xf>
    <xf numFmtId="0" fontId="25" fillId="15" borderId="2" xfId="0" applyFont="1" applyFill="1" applyBorder="1" applyAlignment="1">
      <alignment wrapText="1"/>
    </xf>
    <xf numFmtId="0" fontId="3" fillId="15" borderId="2" xfId="0" applyFont="1" applyFill="1" applyBorder="1" applyAlignment="1">
      <alignment wrapText="1"/>
    </xf>
    <xf numFmtId="0" fontId="25" fillId="15" borderId="0" xfId="0" applyFont="1" applyFill="1"/>
    <xf numFmtId="0" fontId="0" fillId="16" borderId="0" xfId="0" applyFill="1"/>
    <xf numFmtId="166" fontId="9" fillId="17" borderId="2" xfId="0" applyNumberFormat="1" applyFont="1" applyFill="1" applyBorder="1" applyAlignment="1">
      <alignment horizontal="left" vertical="center"/>
    </xf>
    <xf numFmtId="1" fontId="0" fillId="17" borderId="2" xfId="0" applyNumberFormat="1" applyFill="1" applyBorder="1"/>
    <xf numFmtId="1" fontId="18" fillId="11" borderId="0" xfId="9" applyNumberFormat="1" applyBorder="1" applyAlignment="1"/>
    <xf numFmtId="1" fontId="16" fillId="9" borderId="4" xfId="6" applyNumberFormat="1" applyBorder="1" applyAlignment="1">
      <alignment horizontal="right"/>
    </xf>
    <xf numFmtId="1" fontId="16" fillId="9" borderId="5" xfId="6" applyNumberFormat="1" applyBorder="1" applyAlignment="1">
      <alignment horizontal="right"/>
    </xf>
    <xf numFmtId="166" fontId="16" fillId="9" borderId="6" xfId="6" applyNumberFormat="1" applyBorder="1" applyAlignment="1">
      <alignment horizontal="right" vertical="center"/>
    </xf>
    <xf numFmtId="166" fontId="9" fillId="17" borderId="7" xfId="0" applyNumberFormat="1" applyFont="1" applyFill="1" applyBorder="1" applyAlignment="1">
      <alignment horizontal="left" vertical="center"/>
    </xf>
    <xf numFmtId="166" fontId="9" fillId="17" borderId="8" xfId="0" applyNumberFormat="1" applyFont="1" applyFill="1" applyBorder="1" applyAlignment="1">
      <alignment horizontal="left" vertical="center"/>
    </xf>
    <xf numFmtId="166" fontId="9" fillId="17" borderId="9" xfId="0" applyNumberFormat="1" applyFont="1" applyFill="1" applyBorder="1" applyAlignment="1">
      <alignment horizontal="left" vertical="center"/>
    </xf>
    <xf numFmtId="166" fontId="9" fillId="17" borderId="10" xfId="0" applyNumberFormat="1" applyFont="1" applyFill="1" applyBorder="1" applyAlignment="1">
      <alignment horizontal="left" vertical="center"/>
    </xf>
    <xf numFmtId="166" fontId="9" fillId="17" borderId="1" xfId="0" applyNumberFormat="1" applyFont="1" applyFill="1" applyBorder="1" applyAlignment="1">
      <alignment horizontal="left" vertical="center"/>
    </xf>
    <xf numFmtId="166" fontId="9" fillId="17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5" borderId="12" xfId="0" applyFont="1" applyFill="1" applyBorder="1" applyAlignment="1">
      <alignment wrapText="1"/>
    </xf>
    <xf numFmtId="0" fontId="25" fillId="15" borderId="5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4" fillId="16" borderId="0" xfId="10" applyNumberFormat="1" applyFont="1" applyFill="1"/>
    <xf numFmtId="0" fontId="4" fillId="16" borderId="0" xfId="10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10" applyNumberFormat="1" applyFont="1" applyFill="1"/>
    <xf numFmtId="0" fontId="3" fillId="2" borderId="1" xfId="13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4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8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5" xfId="0" applyNumberFormat="1" applyFont="1" applyFill="1" applyBorder="1"/>
    <xf numFmtId="1" fontId="3" fillId="17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5" borderId="10" xfId="0" applyFont="1" applyFill="1" applyBorder="1" applyAlignment="1">
      <alignment wrapText="1"/>
    </xf>
    <xf numFmtId="0" fontId="3" fillId="15" borderId="7" xfId="0" applyFont="1" applyFill="1" applyBorder="1" applyAlignment="1">
      <alignment wrapText="1"/>
    </xf>
    <xf numFmtId="9" fontId="9" fillId="17" borderId="10" xfId="18" applyFont="1" applyFill="1" applyBorder="1" applyAlignment="1">
      <alignment horizontal="left" vertical="center"/>
    </xf>
    <xf numFmtId="9" fontId="9" fillId="17" borderId="1" xfId="18" applyFont="1" applyFill="1" applyBorder="1" applyAlignment="1">
      <alignment horizontal="left" vertical="center"/>
    </xf>
    <xf numFmtId="9" fontId="9" fillId="17" borderId="11" xfId="18" applyFont="1" applyFill="1" applyBorder="1" applyAlignment="1">
      <alignment horizontal="left" vertical="center"/>
    </xf>
    <xf numFmtId="9" fontId="9" fillId="17" borderId="2" xfId="18" applyFont="1" applyFill="1" applyBorder="1" applyAlignment="1">
      <alignment horizontal="left" vertical="center"/>
    </xf>
    <xf numFmtId="9" fontId="18" fillId="11" borderId="1" xfId="18" applyFont="1" applyFill="1" applyBorder="1" applyAlignment="1"/>
    <xf numFmtId="9" fontId="18" fillId="11" borderId="2" xfId="18" applyFont="1" applyFill="1" applyBorder="1" applyAlignment="1"/>
    <xf numFmtId="9" fontId="4" fillId="0" borderId="0" xfId="22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4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5" borderId="12" xfId="0" applyFont="1" applyFill="1" applyBorder="1" applyAlignment="1">
      <alignment wrapText="1"/>
    </xf>
    <xf numFmtId="0" fontId="3" fillId="15" borderId="4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27" fillId="0" borderId="0" xfId="11" applyFont="1"/>
    <xf numFmtId="0" fontId="3" fillId="19" borderId="0" xfId="11" applyFont="1" applyFill="1"/>
    <xf numFmtId="9" fontId="18" fillId="11" borderId="16" xfId="18" applyFont="1" applyFill="1" applyBorder="1" applyAlignment="1"/>
    <xf numFmtId="9" fontId="18" fillId="11" borderId="14" xfId="18" applyFont="1" applyFill="1" applyBorder="1" applyAlignment="1"/>
    <xf numFmtId="166" fontId="9" fillId="17" borderId="12" xfId="0" applyNumberFormat="1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17" borderId="5" xfId="0" applyNumberFormat="1" applyFont="1" applyFill="1" applyBorder="1" applyAlignment="1">
      <alignment horizontal="center" vertical="center"/>
    </xf>
    <xf numFmtId="1" fontId="24" fillId="14" borderId="1" xfId="2" applyNumberFormat="1" applyFont="1" applyFill="1" applyBorder="1" applyAlignment="1">
      <alignment horizontal="center" wrapText="1"/>
    </xf>
    <xf numFmtId="1" fontId="24" fillId="14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0" fontId="0" fillId="0" borderId="0" xfId="0" quotePrefix="1"/>
  </cellXfs>
  <cellStyles count="24">
    <cellStyle name="20% - Accent5" xfId="1" builtinId="46"/>
    <cellStyle name="40% - Accent3" xfId="2" builtinId="39"/>
    <cellStyle name="60% - Accent2" xfId="3" builtinId="36"/>
    <cellStyle name="Accent1" xfId="4" builtinId="29"/>
    <cellStyle name="Accent2" xfId="5" builtinId="33"/>
    <cellStyle name="Calculation" xfId="6" builtinId="22"/>
    <cellStyle name="Comma 2" xfId="7" xr:uid="{00000000-0005-0000-0000-000006000000}"/>
    <cellStyle name="Good" xfId="8" builtinId="26"/>
    <cellStyle name="Input" xfId="9" builtinId="20"/>
    <cellStyle name="Neutral" xfId="10" builtinId="28"/>
    <cellStyle name="Normal" xfId="0" builtinId="0"/>
    <cellStyle name="Normal 10" xfId="11" xr:uid="{00000000-0005-0000-0000-00000B000000}"/>
    <cellStyle name="Normal 2" xfId="12" xr:uid="{00000000-0005-0000-0000-00000C000000}"/>
    <cellStyle name="Normal 4" xfId="13" xr:uid="{00000000-0005-0000-0000-00000D000000}"/>
    <cellStyle name="Normal 4 2" xfId="14" xr:uid="{00000000-0005-0000-0000-00000E000000}"/>
    <cellStyle name="Normal 8" xfId="15" xr:uid="{00000000-0005-0000-0000-00000F000000}"/>
    <cellStyle name="Normal 9 2" xfId="16" xr:uid="{00000000-0005-0000-0000-000010000000}"/>
    <cellStyle name="Normale_B2020" xfId="17" xr:uid="{00000000-0005-0000-0000-000011000000}"/>
    <cellStyle name="Percent" xfId="18" builtinId="5"/>
    <cellStyle name="Percent 2" xfId="19" xr:uid="{00000000-0005-0000-0000-000013000000}"/>
    <cellStyle name="Percent 3" xfId="20" xr:uid="{00000000-0005-0000-0000-000014000000}"/>
    <cellStyle name="Percent 4" xfId="21" xr:uid="{00000000-0005-0000-0000-000015000000}"/>
    <cellStyle name="Percent 5" xfId="22" xr:uid="{00000000-0005-0000-0000-000016000000}"/>
    <cellStyle name="Standard_Sce_D_Extraction" xfId="23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793950" y="4636347"/>
          <a:ext cx="4318000" cy="96452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/>
      <sheetData sheetId="2">
        <row r="16">
          <cell r="D16">
            <v>124.79425000000001</v>
          </cell>
          <cell r="E16">
            <v>3095.8757999999998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298.48174999999992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19.923749999999998</v>
          </cell>
          <cell r="E17">
            <v>1051.038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663.94509999999991</v>
          </cell>
          <cell r="E18">
            <v>2662.2965999999997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180.41775000000007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15.434999999999999</v>
          </cell>
          <cell r="E19">
            <v>120.72359999999999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15.771500000000003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416.23084999999924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18.358550000000001</v>
          </cell>
          <cell r="E22">
            <v>380.29379999999998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90" zoomScaleNormal="90" workbookViewId="0">
      <selection activeCell="D9" sqref="D9:U9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7" x14ac:dyDescent="0.2">
      <c r="B5" s="43" t="s">
        <v>58</v>
      </c>
      <c r="C5" s="51" t="s">
        <v>59</v>
      </c>
      <c r="D5" s="81">
        <f>[2]EB2!D16</f>
        <v>124.79425000000001</v>
      </c>
      <c r="E5" s="81">
        <f>[2]EB2!E16</f>
        <v>3095.8757999999998</v>
      </c>
      <c r="F5" s="81">
        <f>[2]EB2!F16</f>
        <v>0</v>
      </c>
      <c r="G5" s="81">
        <f>[2]EB2!G16</f>
        <v>862.053</v>
      </c>
      <c r="H5" s="81">
        <f>[2]EB2!H16</f>
        <v>72.9495</v>
      </c>
      <c r="I5" s="81">
        <f>[2]EB2!I16</f>
        <v>190.17599999999999</v>
      </c>
      <c r="J5" s="81">
        <f>[2]EB2!J16</f>
        <v>3.1680000000000001</v>
      </c>
      <c r="K5" s="81">
        <f>[2]EB2!K16</f>
        <v>0</v>
      </c>
      <c r="L5" s="81">
        <f>[2]EB2!L16</f>
        <v>15.38</v>
      </c>
      <c r="M5" s="81">
        <f>[2]EB2!M16</f>
        <v>0.92</v>
      </c>
      <c r="N5" s="82">
        <f>[2]EB2!N16</f>
        <v>0</v>
      </c>
      <c r="O5" s="81">
        <f>[2]EB2!O16</f>
        <v>298.48174999999992</v>
      </c>
      <c r="P5" s="81">
        <f>[2]EB2!P16</f>
        <v>0</v>
      </c>
      <c r="Q5" s="81">
        <f>[2]EB2!Q16</f>
        <v>0</v>
      </c>
      <c r="R5" s="81">
        <f>[2]EB2!R16</f>
        <v>50</v>
      </c>
      <c r="S5" s="81">
        <f>[2]EB2!S16</f>
        <v>0</v>
      </c>
      <c r="T5" s="81">
        <f>[2]EB2!T16</f>
        <v>432.74250000000001</v>
      </c>
      <c r="U5" s="81">
        <f>[2]EB2!U16</f>
        <v>1435.8710000000001</v>
      </c>
      <c r="V5" s="83">
        <f>SUM(D5:U5)</f>
        <v>6582.4117999999999</v>
      </c>
    </row>
    <row r="6" spans="2:27" x14ac:dyDescent="0.2">
      <c r="B6" s="43" t="s">
        <v>60</v>
      </c>
      <c r="C6" s="52" t="s">
        <v>61</v>
      </c>
      <c r="D6" s="81">
        <f>[2]EB2!D17</f>
        <v>19.923749999999998</v>
      </c>
      <c r="E6" s="81">
        <f>[2]EB2!E17</f>
        <v>1051.038</v>
      </c>
      <c r="F6" s="81">
        <f>[2]EB2!F17</f>
        <v>0</v>
      </c>
      <c r="G6" s="81">
        <f>[2]EB2!G17</f>
        <v>368.84399999999999</v>
      </c>
      <c r="H6" s="81">
        <f>[2]EB2!H17</f>
        <v>1.677</v>
      </c>
      <c r="I6" s="81">
        <f>[2]EB2!I17</f>
        <v>31.602</v>
      </c>
      <c r="J6" s="81">
        <f>[2]EB2!J17</f>
        <v>5.72</v>
      </c>
      <c r="K6" s="81">
        <f>[2]EB2!K17</f>
        <v>0</v>
      </c>
      <c r="L6" s="81">
        <f>[2]EB2!L17</f>
        <v>19.32</v>
      </c>
      <c r="M6" s="81">
        <f>[2]EB2!M17</f>
        <v>0.24199999999999999</v>
      </c>
      <c r="N6" s="82">
        <f>[2]EB2!N17</f>
        <v>0</v>
      </c>
      <c r="O6" s="81">
        <f>[2]EB2!O17</f>
        <v>13</v>
      </c>
      <c r="P6" s="81">
        <f>[2]EB2!P17</f>
        <v>0</v>
      </c>
      <c r="Q6" s="81">
        <f>[2]EB2!Q17</f>
        <v>0</v>
      </c>
      <c r="R6" s="81">
        <f>[2]EB2!R17</f>
        <v>7.5</v>
      </c>
      <c r="S6" s="81">
        <f>[2]EB2!S17</f>
        <v>0.60850000000000004</v>
      </c>
      <c r="T6" s="81">
        <f>[2]EB2!T17</f>
        <v>127.32299999999999</v>
      </c>
      <c r="U6" s="81">
        <f>[2]EB2!U17</f>
        <v>1263.6955</v>
      </c>
      <c r="V6" s="83">
        <f t="shared" ref="V6:V12" si="0">SUM(D6:U6)</f>
        <v>2910.4937500000001</v>
      </c>
    </row>
    <row r="7" spans="2:27" x14ac:dyDescent="0.2">
      <c r="B7" s="43" t="s">
        <v>62</v>
      </c>
      <c r="C7" s="52" t="s">
        <v>63</v>
      </c>
      <c r="D7" s="81">
        <f>[2]EB2!D18</f>
        <v>663.94509999999991</v>
      </c>
      <c r="E7" s="81">
        <f>[2]EB2!E18</f>
        <v>2662.2965999999997</v>
      </c>
      <c r="F7" s="81">
        <f>[2]EB2!F18</f>
        <v>0</v>
      </c>
      <c r="G7" s="81">
        <f>[2]EB2!G18</f>
        <v>298.68</v>
      </c>
      <c r="H7" s="81">
        <f>[2]EB2!H18</f>
        <v>36.356499999999997</v>
      </c>
      <c r="I7" s="81">
        <f>[2]EB2!I18</f>
        <v>142.97149999999999</v>
      </c>
      <c r="J7" s="81">
        <f>[2]EB2!J18</f>
        <v>7.766</v>
      </c>
      <c r="K7" s="81">
        <f>[2]EB2!K18</f>
        <v>44.066000000000003</v>
      </c>
      <c r="L7" s="81">
        <f>[2]EB2!L18</f>
        <v>286.0505</v>
      </c>
      <c r="M7" s="81">
        <f>[2]EB2!M18</f>
        <v>191.57300000000001</v>
      </c>
      <c r="N7" s="82">
        <f>[2]EB2!N18</f>
        <v>0</v>
      </c>
      <c r="O7" s="81">
        <f>[2]EB2!O18</f>
        <v>180.41775000000007</v>
      </c>
      <c r="P7" s="81">
        <f>[2]EB2!P18</f>
        <v>0</v>
      </c>
      <c r="Q7" s="81">
        <f>[2]EB2!Q18</f>
        <v>0</v>
      </c>
      <c r="R7" s="81">
        <f>[2]EB2!R18</f>
        <v>0</v>
      </c>
      <c r="S7" s="81">
        <f>[2]EB2!S18</f>
        <v>58.595999999999997</v>
      </c>
      <c r="T7" s="81">
        <f>[2]EB2!T18</f>
        <v>316.79149999999998</v>
      </c>
      <c r="U7" s="81">
        <f>[2]EB2!U18</f>
        <v>2044.222</v>
      </c>
      <c r="V7" s="83">
        <f t="shared" si="0"/>
        <v>6933.7324499999986</v>
      </c>
    </row>
    <row r="8" spans="2:27" x14ac:dyDescent="0.2">
      <c r="B8" s="43" t="s">
        <v>64</v>
      </c>
      <c r="C8" s="52" t="s">
        <v>65</v>
      </c>
      <c r="D8" s="81">
        <f>[2]EB2!D19</f>
        <v>15.434999999999999</v>
      </c>
      <c r="E8" s="81">
        <f>[2]EB2!E19</f>
        <v>120.72359999999999</v>
      </c>
      <c r="F8" s="81">
        <f>[2]EB2!F19</f>
        <v>0</v>
      </c>
      <c r="G8" s="81">
        <f>[2]EB2!G19</f>
        <v>366.58800000000002</v>
      </c>
      <c r="H8" s="81">
        <f>[2]EB2!H19</f>
        <v>0.47299999999999998</v>
      </c>
      <c r="I8" s="81">
        <f>[2]EB2!I19</f>
        <v>16.169</v>
      </c>
      <c r="J8" s="81">
        <f>[2]EB2!J19</f>
        <v>1.716</v>
      </c>
      <c r="K8" s="81">
        <f>[2]EB2!K19</f>
        <v>0</v>
      </c>
      <c r="L8" s="81">
        <f>[2]EB2!L19</f>
        <v>13.74</v>
      </c>
      <c r="M8" s="81">
        <f>[2]EB2!M19</f>
        <v>0</v>
      </c>
      <c r="N8" s="82">
        <f>[2]EB2!N19</f>
        <v>0</v>
      </c>
      <c r="O8" s="81">
        <f>[2]EB2!O19</f>
        <v>15.771500000000003</v>
      </c>
      <c r="P8" s="81">
        <f>[2]EB2!P19</f>
        <v>0</v>
      </c>
      <c r="Q8" s="81">
        <f>[2]EB2!Q19</f>
        <v>0</v>
      </c>
      <c r="R8" s="81">
        <f>[2]EB2!R19</f>
        <v>0</v>
      </c>
      <c r="S8" s="81">
        <f>[2]EB2!S19</f>
        <v>5.0000000000000001E-4</v>
      </c>
      <c r="T8" s="81">
        <f>[2]EB2!T19</f>
        <v>7.7869999999999999</v>
      </c>
      <c r="U8" s="81">
        <f>[2]EB2!U19</f>
        <v>9.6930000000000014</v>
      </c>
      <c r="V8" s="83">
        <f t="shared" si="0"/>
        <v>568.09659999999997</v>
      </c>
    </row>
    <row r="9" spans="2:27" ht="15" x14ac:dyDescent="0.25">
      <c r="B9" s="43" t="s">
        <v>66</v>
      </c>
      <c r="C9" s="52" t="s">
        <v>67</v>
      </c>
      <c r="D9" s="81">
        <f>[2]EB2!D20</f>
        <v>0.1946</v>
      </c>
      <c r="E9" s="47">
        <f>[2]EB2!E20</f>
        <v>12.7494</v>
      </c>
      <c r="F9" s="81">
        <f>[2]EB2!F20</f>
        <v>0</v>
      </c>
      <c r="G9" s="47">
        <f>[2]EB2!G20</f>
        <v>3856.2855</v>
      </c>
      <c r="H9" s="81">
        <f>[2]EB2!H20</f>
        <v>1047.652</v>
      </c>
      <c r="I9" s="47">
        <f>[2]EB2!I20</f>
        <v>94.230999999999995</v>
      </c>
      <c r="J9" s="47">
        <f>[2]EB2!J20</f>
        <v>2394.2159999999999</v>
      </c>
      <c r="K9" s="81">
        <f>[2]EB2!K20</f>
        <v>0</v>
      </c>
      <c r="L9" s="81">
        <f>[2]EB2!L20</f>
        <v>33.24</v>
      </c>
      <c r="M9" s="81">
        <f>[2]EB2!M20</f>
        <v>0</v>
      </c>
      <c r="N9" s="81">
        <f>[2]EB2!N20</f>
        <v>0</v>
      </c>
      <c r="O9" s="47">
        <f>[2]EB2!O20</f>
        <v>40.25</v>
      </c>
      <c r="P9" s="81">
        <f>[2]EB2!P20</f>
        <v>0</v>
      </c>
      <c r="Q9" s="81">
        <f>[2]EB2!Q20</f>
        <v>0</v>
      </c>
      <c r="R9" s="81">
        <f>[2]EB2!R20</f>
        <v>0</v>
      </c>
      <c r="S9" s="81">
        <f>[2]EB2!S20</f>
        <v>0</v>
      </c>
      <c r="T9" s="81">
        <f>[2]EB2!T20</f>
        <v>0</v>
      </c>
      <c r="U9" s="47">
        <f>[2]EB2!U20</f>
        <v>132.98599999999999</v>
      </c>
      <c r="V9" s="83">
        <f t="shared" si="0"/>
        <v>7611.8044999999993</v>
      </c>
    </row>
    <row r="10" spans="2:27" x14ac:dyDescent="0.2">
      <c r="B10" s="43" t="s">
        <v>68</v>
      </c>
      <c r="C10" s="53" t="s">
        <v>69</v>
      </c>
      <c r="D10" s="46">
        <f>[2]EB2!D21</f>
        <v>416.23084999999924</v>
      </c>
      <c r="E10" s="46">
        <f>[2]EB2!E21</f>
        <v>0</v>
      </c>
      <c r="F10" s="46">
        <f>[2]EB2!F21</f>
        <v>0</v>
      </c>
      <c r="G10" s="46">
        <f>[2]EB2!G21</f>
        <v>0</v>
      </c>
      <c r="H10" s="46">
        <f>[2]EB2!H21</f>
        <v>0</v>
      </c>
      <c r="I10" s="46">
        <f>[2]EB2!I21</f>
        <v>0</v>
      </c>
      <c r="J10" s="46">
        <f>[2]EB2!J21</f>
        <v>0</v>
      </c>
      <c r="K10" s="46">
        <f>[2]EB2!K21</f>
        <v>0</v>
      </c>
      <c r="L10" s="46">
        <f>[2]EB2!L21</f>
        <v>0</v>
      </c>
      <c r="M10" s="46">
        <f>[2]EB2!M21</f>
        <v>0</v>
      </c>
      <c r="N10" s="46">
        <f>[2]EB2!N21</f>
        <v>0</v>
      </c>
      <c r="O10" s="46">
        <f>[2]EB2!O21</f>
        <v>0</v>
      </c>
      <c r="P10" s="46">
        <f>[2]EB2!P21</f>
        <v>0</v>
      </c>
      <c r="Q10" s="46">
        <f>[2]EB2!Q21</f>
        <v>0</v>
      </c>
      <c r="R10" s="46">
        <f>[2]EB2!R21</f>
        <v>0</v>
      </c>
      <c r="S10" s="46">
        <f>[2]EB2!S21</f>
        <v>0</v>
      </c>
      <c r="T10" s="46">
        <f>[2]EB2!T21</f>
        <v>313.51900000000001</v>
      </c>
      <c r="U10" s="46">
        <f>[2]EB2!U21</f>
        <v>325</v>
      </c>
      <c r="V10" s="84">
        <f t="shared" si="0"/>
        <v>1054.7498499999992</v>
      </c>
    </row>
    <row r="11" spans="2:27" x14ac:dyDescent="0.2">
      <c r="B11" s="43" t="s">
        <v>86</v>
      </c>
      <c r="C11" s="52" t="s">
        <v>70</v>
      </c>
      <c r="D11" s="81">
        <f>[2]EB2!D22</f>
        <v>18.358550000000001</v>
      </c>
      <c r="E11" s="81">
        <f>[2]EB2!E22</f>
        <v>380.29379999999998</v>
      </c>
      <c r="F11" s="81">
        <f>[2]EB2!F22</f>
        <v>0</v>
      </c>
      <c r="G11" s="81">
        <f>[2]EB2!G22</f>
        <v>76.465000000000003</v>
      </c>
      <c r="H11" s="81">
        <f>[2]EB2!H22</f>
        <v>4.7945000000000002</v>
      </c>
      <c r="I11" s="81">
        <f>[2]EB2!I22</f>
        <v>199.87350000000001</v>
      </c>
      <c r="J11" s="81">
        <f>[2]EB2!J22</f>
        <v>3.1459999999999999</v>
      </c>
      <c r="K11" s="81">
        <f>[2]EB2!K22</f>
        <v>899.20600000000002</v>
      </c>
      <c r="L11" s="81">
        <f>[2]EB2!L22</f>
        <v>52.04</v>
      </c>
      <c r="M11" s="81">
        <f>[2]EB2!M22</f>
        <v>800.72900000000004</v>
      </c>
      <c r="N11" s="82">
        <f>[2]EB2!N22</f>
        <v>0</v>
      </c>
      <c r="O11" s="81">
        <f>[2]EB2!O22</f>
        <v>0</v>
      </c>
      <c r="P11" s="81">
        <f>[2]EB2!P22</f>
        <v>0</v>
      </c>
      <c r="Q11" s="81">
        <f>[2]EB2!Q22</f>
        <v>0</v>
      </c>
      <c r="R11" s="81">
        <f>[2]EB2!R22</f>
        <v>0</v>
      </c>
      <c r="S11" s="81">
        <f>[2]EB2!S22</f>
        <v>0</v>
      </c>
      <c r="T11" s="81">
        <f>[2]EB2!T22</f>
        <v>0</v>
      </c>
      <c r="U11" s="81">
        <f>[2]EB2!U22</f>
        <v>0</v>
      </c>
      <c r="V11" s="83">
        <f t="shared" si="0"/>
        <v>2434.9063500000002</v>
      </c>
    </row>
    <row r="12" spans="2:27" x14ac:dyDescent="0.2">
      <c r="B12" s="43" t="s">
        <v>87</v>
      </c>
      <c r="C12" s="52" t="s">
        <v>71</v>
      </c>
      <c r="D12" s="81">
        <f>[2]EB2!D23</f>
        <v>0</v>
      </c>
      <c r="E12" s="81">
        <f>[2]EB2!E23</f>
        <v>0</v>
      </c>
      <c r="F12" s="81">
        <f>[2]EB2!F23</f>
        <v>0</v>
      </c>
      <c r="G12" s="81">
        <f>[2]EB2!G23</f>
        <v>146.90600000000001</v>
      </c>
      <c r="H12" s="81">
        <f>[2]EB2!H23</f>
        <v>0</v>
      </c>
      <c r="I12" s="81">
        <f>[2]EB2!I23</f>
        <v>0</v>
      </c>
      <c r="J12" s="81">
        <f>[2]EB2!J23</f>
        <v>0</v>
      </c>
      <c r="K12" s="81">
        <f>[2]EB2!K23</f>
        <v>0</v>
      </c>
      <c r="L12" s="81">
        <f>[2]EB2!L23</f>
        <v>902.14</v>
      </c>
      <c r="M12" s="81">
        <f>[2]EB2!M23</f>
        <v>6.5</v>
      </c>
      <c r="N12" s="82">
        <f>[2]EB2!N23</f>
        <v>0</v>
      </c>
      <c r="O12" s="46">
        <f>[2]EB2!O23</f>
        <v>0</v>
      </c>
      <c r="P12" s="46">
        <f>[2]EB2!P23</f>
        <v>0</v>
      </c>
      <c r="Q12" s="46">
        <f>[2]EB2!Q23</f>
        <v>0</v>
      </c>
      <c r="R12" s="46">
        <f>[2]EB2!R23</f>
        <v>0</v>
      </c>
      <c r="S12" s="81">
        <f>[2]EB2!S23</f>
        <v>0</v>
      </c>
      <c r="T12" s="81">
        <f>[2]EB2!T23</f>
        <v>0</v>
      </c>
      <c r="U12" s="81">
        <f>[2]EB2!U23</f>
        <v>0</v>
      </c>
      <c r="V12" s="83">
        <f t="shared" si="0"/>
        <v>1055.546</v>
      </c>
    </row>
    <row r="13" spans="2:27" ht="15" x14ac:dyDescent="0.25">
      <c r="B13" s="78" t="s">
        <v>89</v>
      </c>
      <c r="C13" s="50" t="s">
        <v>162</v>
      </c>
      <c r="D13" s="48">
        <f t="shared" ref="D13:V13" si="1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  <c r="O23" s="6"/>
      <c r="P23" s="6"/>
      <c r="Q23" s="6"/>
      <c r="R23" s="6"/>
    </row>
    <row r="24" spans="2:24" ht="38.25" x14ac:dyDescent="0.2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88"/>
      <c r="E25" s="92">
        <v>1</v>
      </c>
      <c r="F25" s="89"/>
      <c r="G25" s="92">
        <v>0.9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9.9999999999999978E-2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24" x14ac:dyDescent="0.2">
      <c r="B31" s="43" t="s">
        <v>66</v>
      </c>
      <c r="C31" s="110">
        <v>1</v>
      </c>
      <c r="D31" s="111"/>
      <c r="E31" s="112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K11" sqref="K11"/>
    </sheetView>
  </sheetViews>
  <sheetFormatPr defaultRowHeight="12.75" x14ac:dyDescent="0.2"/>
  <cols>
    <col min="1" max="1" width="1.85546875" style="23" customWidth="1"/>
    <col min="2" max="2" width="7.7109375" style="23" customWidth="1"/>
    <col min="3" max="3" width="6.85546875" style="23" customWidth="1"/>
    <col min="4" max="16384" width="9.140625" style="23"/>
  </cols>
  <sheetData>
    <row r="3" spans="2:7" ht="18" x14ac:dyDescent="0.25">
      <c r="B3" s="106" t="s">
        <v>161</v>
      </c>
    </row>
    <row r="5" spans="2:7" x14ac:dyDescent="0.2">
      <c r="D5" s="107" t="s">
        <v>167</v>
      </c>
      <c r="E5" s="107"/>
      <c r="F5" s="107"/>
      <c r="G5" s="107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15" sqref="H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2:18" x14ac:dyDescent="0.2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 x14ac:dyDescent="0.3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2:18" x14ac:dyDescent="0.2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ref="N5:N10" si="0">$E$2</f>
        <v>PJ</v>
      </c>
      <c r="O5" s="120"/>
      <c r="P5" s="120"/>
      <c r="Q5" s="120"/>
      <c r="R5" s="120"/>
    </row>
    <row r="6" spans="2:18" x14ac:dyDescent="0.2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2:18" x14ac:dyDescent="0.2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2:18" x14ac:dyDescent="0.2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2:18" x14ac:dyDescent="0.2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2:18" x14ac:dyDescent="0.2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x14ac:dyDescent="0.2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ref="L16:L21" si="4">"FT"&amp;$G$2&amp;"-"&amp;L5</f>
        <v>FTE-TRAGAS</v>
      </c>
      <c r="M16" s="121" t="str">
        <f t="shared" ref="M16:M21" si="5">$D$2&amp;" Technology"&amp;" "&amp;$G$1&amp;" "&amp;M5</f>
        <v>Sector Fuel Technology Existing Transport Natural Gas</v>
      </c>
      <c r="N16" s="120" t="str">
        <f t="shared" ref="N16:N21" si="6">$E$2</f>
        <v>PJ</v>
      </c>
      <c r="O16" s="120" t="str">
        <f t="shared" ref="O16:O21" si="7">$E$2&amp;"a"</f>
        <v>PJa</v>
      </c>
      <c r="P16" s="120"/>
      <c r="Q16" s="120"/>
      <c r="R16" s="120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4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4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4"/>
      <c r="F28" s="12"/>
      <c r="G28" s="70"/>
      <c r="H28" s="11"/>
      <c r="M28" s="19"/>
    </row>
    <row r="29" spans="2:18" x14ac:dyDescent="0.2">
      <c r="B29" s="23"/>
      <c r="D29" s="23"/>
      <c r="E29" s="94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4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topLeftCell="A2"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2:23" x14ac:dyDescent="0.2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 x14ac:dyDescent="0.3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 x14ac:dyDescent="0.2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 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 x14ac:dyDescent="0.2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 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2:23" x14ac:dyDescent="0.2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2:23" x14ac:dyDescent="0.2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x14ac:dyDescent="0.2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1E-3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 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ref="T13:T24" si="3">$G$2</f>
        <v>000_Units</v>
      </c>
      <c r="U13" s="120"/>
      <c r="V13" s="116" t="s">
        <v>145</v>
      </c>
      <c r="W13" s="120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4">
        <v>10</v>
      </c>
      <c r="K14" s="69">
        <v>1E-3</v>
      </c>
      <c r="M14" s="29">
        <f t="shared" ref="M14:M22" si="4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 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1E-3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 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4">
        <v>10</v>
      </c>
      <c r="K16" s="69">
        <v>1E-3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 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</v>
      </c>
      <c r="G17" s="62">
        <v>11.5</v>
      </c>
      <c r="H17" s="67">
        <v>1.25</v>
      </c>
      <c r="I17" s="67">
        <v>0.15</v>
      </c>
      <c r="J17" s="44">
        <v>10</v>
      </c>
      <c r="K17" s="69">
        <v>1E-3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 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</v>
      </c>
      <c r="G18" s="96">
        <v>11.5</v>
      </c>
      <c r="H18" s="97">
        <v>1.25</v>
      </c>
      <c r="I18" s="97">
        <v>0.15</v>
      </c>
      <c r="J18" s="98">
        <v>10</v>
      </c>
      <c r="K18" s="99">
        <v>1E-3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 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('EB2'!E$9*'EB2'!$E$26*F19/(K19*G19))*1.01</f>
        <v>0</v>
      </c>
      <c r="F19" s="67">
        <v>0.1</v>
      </c>
      <c r="G19" s="44">
        <v>50</v>
      </c>
      <c r="H19" s="67">
        <v>15</v>
      </c>
      <c r="I19" s="67">
        <v>0.24</v>
      </c>
      <c r="J19" s="44">
        <v>30</v>
      </c>
      <c r="K19" s="69">
        <v>1E-3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 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1E-3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 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</v>
      </c>
      <c r="G21" s="62">
        <v>50</v>
      </c>
      <c r="H21" s="67">
        <v>15</v>
      </c>
      <c r="I21" s="68">
        <v>0.24</v>
      </c>
      <c r="J21" s="44">
        <v>30</v>
      </c>
      <c r="K21" s="69">
        <v>1E-3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 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1E-3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 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1E-3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 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1E-3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 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23" x14ac:dyDescent="0.2">
      <c r="B27" s="44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24"/>
  <sheetViews>
    <sheetView workbookViewId="0">
      <selection activeCell="D10" sqref="D10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0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0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2:10" x14ac:dyDescent="0.2">
      <c r="C5" s="3" t="s">
        <v>13</v>
      </c>
      <c r="D5" s="3"/>
      <c r="E5" s="1"/>
      <c r="I5" s="3" t="s">
        <v>13</v>
      </c>
      <c r="J5" s="1"/>
    </row>
    <row r="6" spans="2:10" x14ac:dyDescent="0.2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0" ht="22.5" x14ac:dyDescent="0.2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</row>
    <row r="8" spans="2:10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</row>
    <row r="9" spans="2:10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0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2:10" x14ac:dyDescent="0.2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2:10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</row>
    <row r="13" spans="2:10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2:10" x14ac:dyDescent="0.2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2:10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2:10" x14ac:dyDescent="0.2">
      <c r="G16" s="1" t="s">
        <v>120</v>
      </c>
      <c r="H16" t="str">
        <f>DemTechs_TRA!$Q$6</f>
        <v>DTPUB</v>
      </c>
      <c r="I16" s="23" t="s">
        <v>124</v>
      </c>
      <c r="J16" s="67">
        <v>0.25</v>
      </c>
    </row>
    <row r="23" spans="2:3" x14ac:dyDescent="0.2">
      <c r="B23" s="44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Q35"/>
  <sheetViews>
    <sheetView tabSelected="1" workbookViewId="0">
      <selection activeCell="M21" sqref="M21"/>
    </sheetView>
  </sheetViews>
  <sheetFormatPr defaultRowHeight="12.75" x14ac:dyDescent="0.2"/>
  <cols>
    <col min="2" max="2" width="14.42578125" customWidth="1"/>
  </cols>
  <sheetData>
    <row r="3" spans="2:15" ht="17.45" customHeight="1" x14ac:dyDescent="0.25">
      <c r="B3" s="35" t="s">
        <v>149</v>
      </c>
      <c r="C3" s="35"/>
      <c r="D3" s="35"/>
      <c r="E3" s="35"/>
      <c r="F3" s="35"/>
      <c r="G3" s="35"/>
      <c r="H3" s="35"/>
    </row>
    <row r="4" spans="2:15" ht="17.45" customHeight="1" x14ac:dyDescent="0.25">
      <c r="B4" s="36"/>
      <c r="C4" s="36"/>
      <c r="D4" s="36"/>
      <c r="E4" s="36"/>
      <c r="F4" s="36"/>
      <c r="G4" s="36"/>
    </row>
    <row r="5" spans="2:15" ht="18" x14ac:dyDescent="0.25">
      <c r="B5" s="33" t="s">
        <v>150</v>
      </c>
      <c r="C5" s="34"/>
    </row>
    <row r="6" spans="2:15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15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15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2"/>
      <c r="H8" s="102"/>
      <c r="I8" s="1"/>
    </row>
    <row r="9" spans="2:15" x14ac:dyDescent="0.2">
      <c r="L9" t="s">
        <v>188</v>
      </c>
      <c r="M9" t="s">
        <v>187</v>
      </c>
    </row>
    <row r="11" spans="2:15" x14ac:dyDescent="0.2">
      <c r="K11" t="s">
        <v>187</v>
      </c>
      <c r="O11" t="s">
        <v>186</v>
      </c>
    </row>
    <row r="14" spans="2:15" x14ac:dyDescent="0.2">
      <c r="M14" t="s">
        <v>185</v>
      </c>
    </row>
    <row r="17" spans="2:17" x14ac:dyDescent="0.2">
      <c r="O17" s="125" t="s">
        <v>189</v>
      </c>
    </row>
    <row r="18" spans="2:17" x14ac:dyDescent="0.2">
      <c r="K18" t="s">
        <v>189</v>
      </c>
    </row>
    <row r="21" spans="2:17" x14ac:dyDescent="0.2">
      <c r="J21" t="s">
        <v>189</v>
      </c>
    </row>
    <row r="22" spans="2:17" x14ac:dyDescent="0.2">
      <c r="K22" t="s">
        <v>189</v>
      </c>
      <c r="N22" s="125" t="s">
        <v>190</v>
      </c>
    </row>
    <row r="23" spans="2:17" x14ac:dyDescent="0.2">
      <c r="B23" s="44"/>
      <c r="C23" s="1" t="s">
        <v>159</v>
      </c>
      <c r="N23" t="s">
        <v>189</v>
      </c>
    </row>
    <row r="24" spans="2:17" x14ac:dyDescent="0.2">
      <c r="B24" s="64"/>
      <c r="C24" s="1" t="s">
        <v>160</v>
      </c>
    </row>
    <row r="25" spans="2:17" x14ac:dyDescent="0.2">
      <c r="P25" s="125" t="s">
        <v>191</v>
      </c>
    </row>
    <row r="26" spans="2:17" x14ac:dyDescent="0.2">
      <c r="K26" s="125" t="s">
        <v>193</v>
      </c>
      <c r="L26" t="s">
        <v>189</v>
      </c>
    </row>
    <row r="29" spans="2:17" x14ac:dyDescent="0.2">
      <c r="Q29" s="125" t="s">
        <v>190</v>
      </c>
    </row>
    <row r="35" spans="10:10" x14ac:dyDescent="0.2">
      <c r="J35" s="125" t="s">
        <v>192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EB2</vt:lpstr>
      <vt:lpstr>RES_TRA</vt:lpstr>
      <vt:lpstr>Sector_Fuels_TRA</vt:lpstr>
      <vt:lpstr>DemTechs_TRA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2026-07-22T09:31:10Z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</Properties>
</file>