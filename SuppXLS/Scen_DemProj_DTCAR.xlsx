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BY_Data" sheetId="6" r:id="rId3"/>
    <sheet name="CAR_Dem" sheetId="2" r:id="rId4"/>
  </sheets>
  <definedNames/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<sst xmlns="http://schemas.openxmlformats.org/spreadsheetml/2006/main" count="34" uniqueCount="19">
  <si>
    <t>Year</t>
  </si>
  <si>
    <t>Cset_CN</t>
  </si>
  <si>
    <t>Attribute</t>
  </si>
  <si>
    <t>LimType</t>
  </si>
  <si>
    <t>~TFM_INS</t>
  </si>
  <si>
    <t>TimeSlice</t>
  </si>
  <si>
    <t>Trans - Insert</t>
  </si>
  <si>
    <t>REG2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</si>
  <si>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</si>
  <si>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</si>
  <si>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</si>
  <si>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</si>
  <si>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</si>
  <si>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</si>
  <si>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</si>
  <si>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</si>
  <si>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</si>
  <si>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Reg2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</si>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</sst>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00102615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theme="5" tint="0.7999799847602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3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164" fontId="0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6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15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3" fillId="0" borderId="0" xfId="24">
      <alignment/>
      <protection/>
    </xf>
    <xf numFmtId="0" fontId="3" fillId="0" borderId="0" xfId="24" applyBorder="1">
      <alignment/>
      <protection/>
    </xf>
    <xf numFmtId="0" fontId="7" fillId="5" borderId="1" xfId="24" applyFont="1" applyFill="1" applyBorder="1">
      <alignment/>
      <protection/>
    </xf>
    <xf numFmtId="0" fontId="3" fillId="3" borderId="0" xfId="0" applyFont="1" applyFill="1" applyBorder="1"/>
    <xf numFmtId="9" fontId="0" fillId="0" borderId="0" xfId="0" applyNumberFormat="1"/>
    <xf numFmtId="0" fontId="8" fillId="0" borderId="0" xfId="0" applyFont="1"/>
    <xf numFmtId="2" fontId="8" fillId="6" borderId="0" xfId="0" applyNumberFormat="1" applyFont="1" applyFill="1"/>
    <xf numFmtId="1" fontId="0" fillId="0" borderId="0" xfId="0" applyNumberFormat="1"/>
    <xf numFmtId="0" fontId="9" fillId="7" borderId="0" xfId="20" applyFont="1" applyFill="1" applyBorder="1" applyAlignment="1">
      <alignment horizontal="center" wrapText="1"/>
    </xf>
  </cellXfs>
  <cellStyles count="2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3" xfId="20" builtinId="39"/>
    <cellStyle name="Comma 2" xfId="21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4" xfId="33"/>
    <cellStyle name="Percent 4 2" xfId="34"/>
    <cellStyle name="Percent 5" xfId="35"/>
    <cellStyle name="Percent 6" xfId="36"/>
    <cellStyle name="Standard_Sce_D_Extraction" xfId="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590892cd-39fe-4f52-ad6a-b78a6049ae07}"/>
            </a:ext>
          </a:extLst>
        </xdr:cNvPr>
        <xdr:cNvSpPr txBox="1"/>
      </xdr:nvSpPr>
      <xdr:spPr>
        <a:xfrm>
          <a:off x="609600" y="1724025"/>
          <a:ext cx="4876800" cy="5905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</xdr:row>
      <xdr:rowOff>190499</xdr:rowOff>
    </xdr:from>
    <xdr:to>
      <xdr:col>7</xdr:col>
      <xdr:colOff>0</xdr:colOff>
      <xdr:row>15</xdr:row>
      <xdr:rowOff>28574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90d4d9a-2272-4052-bc9f-7221ae552a28}"/>
            </a:ext>
          </a:extLst>
        </xdr:cNvPr>
        <xdr:cNvSpPr txBox="1"/>
      </xdr:nvSpPr>
      <xdr:spPr>
        <a:xfrm>
          <a:off x="609600" y="2295525"/>
          <a:ext cx="3619500" cy="600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 topLeftCell="A1">
      <selection pane="topLeft" activeCell="B16" sqref="B16"/>
    </sheetView>
  </sheetViews>
  <sheetFormatPr defaultRowHeight="15"/>
  <cols>
    <col min="2" max="2" width="26.4285714285714" bestFit="1" customWidth="1"/>
    <col min="4" max="4" width="10.1428571428571" bestFit="1" customWidth="1"/>
  </cols>
  <sheetData>
    <row r="2" spans="2:9" ht="15">
      <c r="B2" s="1" t="s">
        <v>12</v>
      </c>
      <c r="C2" s="6"/>
      <c r="D2" s="6"/>
      <c r="E2" s="6"/>
      <c r="F2" s="6"/>
      <c r="G2" s="6"/>
      <c r="H2" s="6"/>
      <c r="I2" s="6"/>
    </row>
    <row r="3" spans="2:10" ht="15.75" thickBot="1">
      <c r="B3" s="8" t="s">
        <v>13</v>
      </c>
      <c r="C3" s="8" t="s">
        <v>14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8</v>
      </c>
      <c r="I3" s="4" t="s">
        <v>7</v>
      </c>
      <c r="J3" s="5" t="s">
        <v>1</v>
      </c>
    </row>
    <row r="4" spans="2:10" ht="15">
      <c r="B4" t="s">
        <v>15</v>
      </c>
      <c r="C4" s="11" t="s">
        <v>18</v>
      </c>
      <c r="F4" t="s">
        <v>9</v>
      </c>
      <c r="G4">
        <v>2005</v>
      </c>
      <c r="H4" s="12">
        <v>3100.59695159375</v>
      </c>
      <c r="I4" s="12">
        <v>3067.06485564375</v>
      </c>
      <c r="J4" t="s">
        <v>10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 topLeftCell="A1">
      <selection pane="topLeft" activeCell="D22" sqref="D22"/>
    </sheetView>
  </sheetViews>
  <sheetFormatPr defaultRowHeight="15"/>
  <cols>
    <col min="2" max="2" width="10.1428571428571" bestFit="1" customWidth="1"/>
    <col min="3" max="3" width="8.85714285714286" bestFit="1" customWidth="1"/>
    <col min="4" max="4" width="8.71428571428571" bestFit="1" customWidth="1"/>
    <col min="5" max="5" width="5.14285714285714" bestFit="1" customWidth="1"/>
    <col min="6" max="7" width="10.7142857142857" customWidth="1"/>
    <col min="8" max="8" width="8.42857142857143" bestFit="1" customWidth="1"/>
    <col min="11" max="11" width="14.8571428571429" customWidth="1"/>
  </cols>
  <sheetData>
    <row r="1" spans="1:1" ht="15">
      <c r="A1" t="s">
        <v>6</v>
      </c>
    </row>
    <row r="2" spans="2:12" ht="15">
      <c r="B2" s="1" t="s">
        <v>4</v>
      </c>
      <c r="H2" s="2"/>
      <c r="K2" s="14" t="s">
        <v>11</v>
      </c>
      <c r="L2" s="14"/>
    </row>
    <row r="3" spans="2:12" ht="15.75" thickBot="1">
      <c r="B3" s="3" t="s">
        <v>5</v>
      </c>
      <c r="C3" s="3" t="s">
        <v>3</v>
      </c>
      <c r="D3" s="3" t="s">
        <v>2</v>
      </c>
      <c r="E3" s="3" t="s">
        <v>0</v>
      </c>
      <c r="F3" s="4" t="s">
        <v>8</v>
      </c>
      <c r="G3" s="4" t="s">
        <v>7</v>
      </c>
      <c r="H3" s="5" t="s">
        <v>1</v>
      </c>
      <c r="K3" s="9" t="s">
        <v>16</v>
      </c>
      <c r="L3" s="9" t="s">
        <v>17</v>
      </c>
    </row>
    <row r="4" spans="4:12" ht="15">
      <c r="D4" t="s">
        <v>9</v>
      </c>
      <c r="E4">
        <v>2006</v>
      </c>
      <c r="F4" s="13">
        <f>BY_Data!$H$4*(1+$K$4)^(E4-2005)</f>
        <v>3162.608890625625</v>
      </c>
      <c r="G4" s="13">
        <f>BY_Data!$H$4*(1+$L$4)^(E4-2005)</f>
        <v>3193.6148601415625</v>
      </c>
      <c r="H4" s="7" t="s">
        <v>10</v>
      </c>
      <c r="K4" s="10">
        <v>0.02</v>
      </c>
      <c r="L4" s="10">
        <v>0.03</v>
      </c>
    </row>
    <row r="5" spans="4:12" ht="15">
      <c r="D5" t="s">
        <v>9</v>
      </c>
      <c r="E5">
        <v>2010</v>
      </c>
      <c r="F5" s="13">
        <f>BY_Data!$H$4*(1+$K$4)^(E5-2005)</f>
        <v>3423.309572715099</v>
      </c>
      <c r="G5" s="13">
        <f>BY_Data!$H$4*(1+$L$4)^(E5-2005)</f>
        <v>3594.4416608362467</v>
      </c>
      <c r="H5" s="7" t="s">
        <v>10</v>
      </c>
      <c r="K5" s="10"/>
      <c r="L5" s="10"/>
    </row>
    <row r="6" spans="4:12" ht="15">
      <c r="D6" t="s">
        <v>9</v>
      </c>
      <c r="E6">
        <v>2015</v>
      </c>
      <c r="F6" s="13">
        <f>BY_Data!$H$4*(1+$K$4)^(E6-2005)</f>
        <v>3779.610382645536</v>
      </c>
      <c r="G6" s="13">
        <f>BY_Data!$H$4*(1+$L$4)^(E6-2005)</f>
        <v>4166.9430289912953</v>
      </c>
      <c r="H6" s="7" t="s">
        <v>10</v>
      </c>
      <c r="K6" s="10"/>
      <c r="L6" s="10"/>
    </row>
    <row r="7" spans="4:12" ht="15">
      <c r="D7" t="s">
        <v>9</v>
      </c>
      <c r="E7">
        <v>2020</v>
      </c>
      <c r="F7" s="13">
        <f>BY_Data!$H$4*(1+$K$4)^(E7-2005)</f>
        <v>4172.9952670543425</v>
      </c>
      <c r="G7" s="13">
        <f>BY_Data!$H$4*(1+$L$4)^(E7-2005)</f>
        <v>4830.6290225947223</v>
      </c>
      <c r="H7" s="7" t="s">
        <v>10</v>
      </c>
      <c r="K7" s="10"/>
      <c r="L7" s="10"/>
    </row>
  </sheetData>
  <mergeCells count="1">
    <mergeCell ref="K2:L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2020-06-02T09:24:17Z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