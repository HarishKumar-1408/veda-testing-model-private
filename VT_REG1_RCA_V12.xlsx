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-private\"/>
    </mc:Choice>
  </mc:AlternateContent>
  <xr:revisionPtr revIDLastSave="0" documentId="13_ncr:1_{747DE438-F314-48F0-B75D-6DC74BEB174B}" xr6:coauthVersionLast="47" xr6:coauthVersionMax="47" xr10:uidLastSave="{00000000-0000-0000-0000-000000000000}"/>
  <bookViews>
    <workbookView xWindow="28680" yWindow="-120" windowWidth="29040" windowHeight="15720" tabRatio="901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3" l="1"/>
  <c r="E5" i="133"/>
  <c r="E15" i="138" s="1"/>
  <c r="K15" i="138" s="1"/>
  <c r="F5" i="133"/>
  <c r="G5" i="133"/>
  <c r="H5" i="133"/>
  <c r="I5" i="133"/>
  <c r="J5" i="133"/>
  <c r="E23" i="138" s="1"/>
  <c r="K23" i="138" s="1"/>
  <c r="K5" i="133"/>
  <c r="L5" i="133"/>
  <c r="M5" i="133"/>
  <c r="N5" i="133"/>
  <c r="O5" i="133"/>
  <c r="E17" i="138" s="1"/>
  <c r="K17" i="138" s="1"/>
  <c r="P5" i="133"/>
  <c r="Q5" i="133"/>
  <c r="R5" i="133"/>
  <c r="E18" i="138" s="1"/>
  <c r="K18" i="138" s="1"/>
  <c r="S5" i="133"/>
  <c r="T5" i="133"/>
  <c r="U5" i="133"/>
  <c r="E19" i="138" s="1"/>
  <c r="K19" i="138" s="1"/>
  <c r="D6" i="133"/>
  <c r="E14" i="153" s="1"/>
  <c r="K14" i="153" s="1"/>
  <c r="E6" i="133"/>
  <c r="E15" i="153" s="1"/>
  <c r="K15" i="153" s="1"/>
  <c r="F6" i="133"/>
  <c r="G6" i="133"/>
  <c r="H6" i="133"/>
  <c r="I6" i="133"/>
  <c r="J6" i="133"/>
  <c r="E21" i="152" s="1"/>
  <c r="K6" i="133"/>
  <c r="L6" i="133"/>
  <c r="M6" i="133"/>
  <c r="N6" i="133"/>
  <c r="O6" i="133"/>
  <c r="E17" i="153"/>
  <c r="K17" i="153" s="1"/>
  <c r="P6" i="133"/>
  <c r="Q6" i="133"/>
  <c r="R6" i="133"/>
  <c r="E18" i="153" s="1"/>
  <c r="K18" i="153" s="1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G13" i="133" s="1"/>
  <c r="H8" i="133"/>
  <c r="H13" i="133" s="1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R26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U26" i="133"/>
  <c r="M26" i="133"/>
  <c r="L26" i="133"/>
  <c r="J26" i="133"/>
  <c r="I26" i="133"/>
  <c r="H26" i="133"/>
  <c r="G26" i="133"/>
  <c r="E23" i="153" s="1"/>
  <c r="K23" i="153" s="1"/>
  <c r="E26" i="133"/>
  <c r="D26" i="133"/>
  <c r="U23" i="133"/>
  <c r="M23" i="133"/>
  <c r="L23" i="133"/>
  <c r="J23" i="133"/>
  <c r="I23" i="133"/>
  <c r="H23" i="133"/>
  <c r="G23" i="133"/>
  <c r="E23" i="133"/>
  <c r="E22" i="138" s="1"/>
  <c r="K22" i="138" s="1"/>
  <c r="D23" i="133"/>
  <c r="E2" i="138"/>
  <c r="Q17" i="138" s="1"/>
  <c r="E2" i="153"/>
  <c r="Q6" i="153" s="1"/>
  <c r="Q16" i="153"/>
  <c r="E2" i="155"/>
  <c r="P12" i="155"/>
  <c r="Q12" i="155"/>
  <c r="C2" i="155"/>
  <c r="O6" i="155" s="1"/>
  <c r="B2" i="155"/>
  <c r="N6" i="155" s="1"/>
  <c r="P6" i="155"/>
  <c r="H2" i="155"/>
  <c r="D2" i="155"/>
  <c r="O5" i="155"/>
  <c r="C2" i="154"/>
  <c r="B2" i="154"/>
  <c r="L8" i="154" s="1"/>
  <c r="D24" i="154" s="1"/>
  <c r="C24" i="154" s="1"/>
  <c r="F2" i="154"/>
  <c r="E2" i="154"/>
  <c r="O16" i="154" s="1"/>
  <c r="N9" i="154"/>
  <c r="J23" i="134"/>
  <c r="C2" i="153"/>
  <c r="P8" i="153"/>
  <c r="B2" i="153"/>
  <c r="O7" i="153"/>
  <c r="H31" i="134" s="1"/>
  <c r="Q8" i="153"/>
  <c r="G2" i="153"/>
  <c r="D2" i="153"/>
  <c r="P24" i="153" s="1"/>
  <c r="B2" i="140"/>
  <c r="L10" i="140" s="1"/>
  <c r="L5" i="140"/>
  <c r="M6" i="149" s="1"/>
  <c r="L17" i="140"/>
  <c r="B17" i="140" s="1"/>
  <c r="C2" i="152"/>
  <c r="M5" i="152" s="1"/>
  <c r="M16" i="152" s="1"/>
  <c r="B2" i="152"/>
  <c r="L8" i="152" s="1"/>
  <c r="L9" i="152"/>
  <c r="D25" i="152" s="1"/>
  <c r="C25" i="152" s="1"/>
  <c r="L20" i="152"/>
  <c r="B25" i="152" s="1"/>
  <c r="F2" i="152"/>
  <c r="E2" i="152"/>
  <c r="C2" i="140"/>
  <c r="M9" i="140" s="1"/>
  <c r="M21" i="140" s="1"/>
  <c r="J11" i="134"/>
  <c r="D2" i="138"/>
  <c r="P5" i="138" s="1"/>
  <c r="C2" i="138"/>
  <c r="P8" i="138" s="1"/>
  <c r="B2" i="138"/>
  <c r="Q8" i="138"/>
  <c r="F2" i="140"/>
  <c r="E2" i="140"/>
  <c r="N20" i="140"/>
  <c r="E2" i="134"/>
  <c r="E8" i="134"/>
  <c r="G2" i="138"/>
  <c r="Q15" i="153"/>
  <c r="R21" i="153"/>
  <c r="Q7" i="153"/>
  <c r="R22" i="153"/>
  <c r="Q5" i="153"/>
  <c r="O19" i="154"/>
  <c r="M5" i="140"/>
  <c r="M17" i="140" s="1"/>
  <c r="O25" i="153"/>
  <c r="B25" i="153" s="1"/>
  <c r="N5" i="152"/>
  <c r="O21" i="153"/>
  <c r="B21" i="153" s="1"/>
  <c r="C21" i="153"/>
  <c r="P5" i="155"/>
  <c r="N6" i="152"/>
  <c r="O21" i="152"/>
  <c r="P6" i="138"/>
  <c r="O23" i="153"/>
  <c r="B23" i="153"/>
  <c r="Q20" i="138"/>
  <c r="Q17" i="153"/>
  <c r="D24" i="152"/>
  <c r="C24" i="152" s="1"/>
  <c r="R23" i="138"/>
  <c r="O21" i="140"/>
  <c r="O18" i="152"/>
  <c r="L10" i="152"/>
  <c r="L21" i="152" s="1"/>
  <c r="B26" i="152" s="1"/>
  <c r="Q16" i="138"/>
  <c r="O20" i="153"/>
  <c r="B20" i="153"/>
  <c r="N17" i="154"/>
  <c r="L9" i="140"/>
  <c r="D26" i="140" s="1"/>
  <c r="C26" i="140" s="1"/>
  <c r="N6" i="154"/>
  <c r="N9" i="140"/>
  <c r="N8" i="140"/>
  <c r="N16" i="154"/>
  <c r="N18" i="154"/>
  <c r="F15" i="154"/>
  <c r="P16" i="138"/>
  <c r="O12" i="155"/>
  <c r="B8" i="149"/>
  <c r="P18" i="153"/>
  <c r="P19" i="153"/>
  <c r="P22" i="153"/>
  <c r="P20" i="153"/>
  <c r="R20" i="153"/>
  <c r="L19" i="152"/>
  <c r="B24" i="152" s="1"/>
  <c r="E24" i="153"/>
  <c r="K24" i="153" s="1"/>
  <c r="E19" i="140"/>
  <c r="E19" i="152"/>
  <c r="F16" i="155"/>
  <c r="G16" i="155" s="1"/>
  <c r="E25" i="138"/>
  <c r="K25" i="138" s="1"/>
  <c r="E21" i="140" l="1"/>
  <c r="E15" i="134"/>
  <c r="E21" i="153"/>
  <c r="K21" i="153" s="1"/>
  <c r="L13" i="133"/>
  <c r="E20" i="140"/>
  <c r="U13" i="133"/>
  <c r="E24" i="138"/>
  <c r="K24" i="138" s="1"/>
  <c r="E22" i="153"/>
  <c r="K22" i="153" s="1"/>
  <c r="E14" i="134" s="1"/>
  <c r="D22" i="153"/>
  <c r="P17" i="138"/>
  <c r="P7" i="153"/>
  <c r="R21" i="138"/>
  <c r="Q5" i="138"/>
  <c r="P7" i="138"/>
  <c r="P24" i="138"/>
  <c r="P16" i="153"/>
  <c r="Q7" i="138"/>
  <c r="P25" i="153"/>
  <c r="Q15" i="138"/>
  <c r="E25" i="153"/>
  <c r="K25" i="153" s="1"/>
  <c r="Q18" i="138"/>
  <c r="N7" i="154"/>
  <c r="Q24" i="138"/>
  <c r="L6" i="154"/>
  <c r="L17" i="154" s="1"/>
  <c r="B17" i="154" s="1"/>
  <c r="K13" i="133"/>
  <c r="P6" i="153"/>
  <c r="E18" i="152"/>
  <c r="E20" i="154"/>
  <c r="Q21" i="138"/>
  <c r="O18" i="154"/>
  <c r="P14" i="153"/>
  <c r="O20" i="154"/>
  <c r="N5" i="154"/>
  <c r="L5" i="154"/>
  <c r="D16" i="154" s="1"/>
  <c r="C16" i="154" s="1"/>
  <c r="P23" i="153"/>
  <c r="N19" i="154"/>
  <c r="L5" i="152"/>
  <c r="L7" i="152"/>
  <c r="N20" i="154"/>
  <c r="P17" i="153"/>
  <c r="M9" i="152"/>
  <c r="M20" i="152" s="1"/>
  <c r="L9" i="154"/>
  <c r="L20" i="154" s="1"/>
  <c r="B25" i="154" s="1"/>
  <c r="Q14" i="138"/>
  <c r="P14" i="138"/>
  <c r="D25" i="153"/>
  <c r="L7" i="154"/>
  <c r="M8" i="152"/>
  <c r="M19" i="152" s="1"/>
  <c r="Q6" i="138"/>
  <c r="P21" i="153"/>
  <c r="P5" i="153"/>
  <c r="V9" i="133"/>
  <c r="I13" i="133"/>
  <c r="N12" i="155"/>
  <c r="B12" i="155" s="1"/>
  <c r="P15" i="153"/>
  <c r="P23" i="138"/>
  <c r="R25" i="138"/>
  <c r="M7" i="152"/>
  <c r="M18" i="152" s="1"/>
  <c r="J13" i="133"/>
  <c r="R24" i="138"/>
  <c r="R22" i="138"/>
  <c r="V11" i="133"/>
  <c r="N8" i="154"/>
  <c r="M10" i="152"/>
  <c r="M21" i="152" s="1"/>
  <c r="V8" i="133"/>
  <c r="M9" i="154"/>
  <c r="M20" i="154" s="1"/>
  <c r="M8" i="154"/>
  <c r="M19" i="154" s="1"/>
  <c r="M6" i="154"/>
  <c r="M17" i="154" s="1"/>
  <c r="M7" i="154"/>
  <c r="M18" i="154" s="1"/>
  <c r="M5" i="154"/>
  <c r="M16" i="154" s="1"/>
  <c r="D27" i="140"/>
  <c r="C27" i="140" s="1"/>
  <c r="L22" i="140"/>
  <c r="B27" i="140" s="1"/>
  <c r="V7" i="133"/>
  <c r="E13" i="133"/>
  <c r="D13" i="133"/>
  <c r="E14" i="138"/>
  <c r="K14" i="138" s="1"/>
  <c r="E9" i="134" s="1"/>
  <c r="E21" i="138"/>
  <c r="K21" i="138" s="1"/>
  <c r="E11" i="134" s="1"/>
  <c r="V5" i="133"/>
  <c r="L21" i="140"/>
  <c r="B26" i="140" s="1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L18" i="152"/>
  <c r="B18" i="152" s="1"/>
  <c r="M10" i="140"/>
  <c r="M22" i="140" s="1"/>
  <c r="M8" i="140"/>
  <c r="M20" i="140" s="1"/>
  <c r="M6" i="140"/>
  <c r="M18" i="140" s="1"/>
  <c r="M7" i="140"/>
  <c r="M19" i="140" s="1"/>
  <c r="H32" i="134"/>
  <c r="D21" i="153"/>
  <c r="H29" i="134"/>
  <c r="C14" i="134"/>
  <c r="D24" i="153"/>
  <c r="D23" i="153"/>
  <c r="H30" i="134"/>
  <c r="R13" i="133"/>
  <c r="C13" i="155"/>
  <c r="O5" i="138"/>
  <c r="C17" i="138"/>
  <c r="O21" i="138"/>
  <c r="B21" i="138" s="1"/>
  <c r="C21" i="138" s="1"/>
  <c r="O25" i="138"/>
  <c r="B25" i="138" s="1"/>
  <c r="O6" i="138"/>
  <c r="O19" i="138"/>
  <c r="B19" i="138" s="1"/>
  <c r="C19" i="138" s="1"/>
  <c r="O14" i="138"/>
  <c r="B14" i="138" s="1"/>
  <c r="C24" i="138"/>
  <c r="O20" i="138"/>
  <c r="B20" i="138" s="1"/>
  <c r="C20" i="138" s="1"/>
  <c r="C14" i="138"/>
  <c r="O18" i="138"/>
  <c r="B18" i="138" s="1"/>
  <c r="C18" i="138" s="1"/>
  <c r="O15" i="138"/>
  <c r="B15" i="138" s="1"/>
  <c r="O16" i="138"/>
  <c r="B16" i="138" s="1"/>
  <c r="C16" i="138" s="1"/>
  <c r="O8" i="138"/>
  <c r="L8" i="149" s="1"/>
  <c r="C25" i="138"/>
  <c r="C15" i="138"/>
  <c r="O22" i="138"/>
  <c r="B22" i="138" s="1"/>
  <c r="C22" i="138" s="1"/>
  <c r="O7" i="138"/>
  <c r="O17" i="138"/>
  <c r="B17" i="138" s="1"/>
  <c r="O24" i="138"/>
  <c r="B24" i="138" s="1"/>
  <c r="O23" i="138"/>
  <c r="B23" i="138" s="1"/>
  <c r="C23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L16" i="154"/>
  <c r="B16" i="154" s="1"/>
  <c r="E23" i="152"/>
  <c r="E21" i="154"/>
  <c r="D26" i="152"/>
  <c r="C26" i="152" s="1"/>
  <c r="O22" i="153"/>
  <c r="B22" i="153" s="1"/>
  <c r="C22" i="153" s="1"/>
  <c r="P18" i="138"/>
  <c r="P15" i="138"/>
  <c r="P19" i="138"/>
  <c r="R25" i="153"/>
  <c r="Q21" i="153"/>
  <c r="Q14" i="153"/>
  <c r="R24" i="153"/>
  <c r="Q18" i="153"/>
  <c r="Q19" i="153"/>
  <c r="F13" i="133"/>
  <c r="E22" i="152"/>
  <c r="E20" i="152"/>
  <c r="Q13" i="133"/>
  <c r="E24" i="140"/>
  <c r="E23" i="154"/>
  <c r="P20" i="138"/>
  <c r="V10" i="133"/>
  <c r="O13" i="133"/>
  <c r="O19" i="153"/>
  <c r="B19" i="153" s="1"/>
  <c r="C19" i="153" s="1"/>
  <c r="C25" i="153"/>
  <c r="O18" i="153"/>
  <c r="B18" i="153" s="1"/>
  <c r="C18" i="153" s="1"/>
  <c r="O6" i="153"/>
  <c r="C23" i="153"/>
  <c r="O15" i="153"/>
  <c r="B15" i="153" s="1"/>
  <c r="C15" i="153" s="1"/>
  <c r="C20" i="153"/>
  <c r="O24" i="153"/>
  <c r="B24" i="153" s="1"/>
  <c r="C24" i="153" s="1"/>
  <c r="O14" i="153"/>
  <c r="B14" i="153" s="1"/>
  <c r="C14" i="153" s="1"/>
  <c r="O5" i="153"/>
  <c r="O17" i="153"/>
  <c r="B17" i="153" s="1"/>
  <c r="C17" i="153" s="1"/>
  <c r="E22" i="154"/>
  <c r="E23" i="140"/>
  <c r="E16" i="138"/>
  <c r="K16" i="138" s="1"/>
  <c r="L8" i="140"/>
  <c r="E20" i="153"/>
  <c r="K20" i="153" s="1"/>
  <c r="E13" i="134" s="1"/>
  <c r="E19" i="153"/>
  <c r="K19" i="153" s="1"/>
  <c r="F12" i="155"/>
  <c r="G12" i="155" s="1"/>
  <c r="Q25" i="153"/>
  <c r="P25" i="138"/>
  <c r="Q22" i="153"/>
  <c r="R23" i="153"/>
  <c r="E16" i="153"/>
  <c r="K16" i="153" s="1"/>
  <c r="E12" i="134" s="1"/>
  <c r="P13" i="133"/>
  <c r="F13" i="155"/>
  <c r="G13" i="155" s="1"/>
  <c r="F14" i="155"/>
  <c r="G14" i="155" s="1"/>
  <c r="Q24" i="153"/>
  <c r="N5" i="155"/>
  <c r="P21" i="138"/>
  <c r="P22" i="138"/>
  <c r="D17" i="140"/>
  <c r="C17" i="140" s="1"/>
  <c r="Q23" i="153"/>
  <c r="O16" i="153"/>
  <c r="B16" i="153" s="1"/>
  <c r="C16" i="153" s="1"/>
  <c r="L6" i="152"/>
  <c r="O8" i="153"/>
  <c r="G8" i="149" s="1"/>
  <c r="C15" i="155"/>
  <c r="L19" i="154"/>
  <c r="B24" i="154" s="1"/>
  <c r="S13" i="133"/>
  <c r="E20" i="138"/>
  <c r="K20" i="138" s="1"/>
  <c r="E10" i="134" s="1"/>
  <c r="E18" i="154"/>
  <c r="E19" i="154"/>
  <c r="Q20" i="153"/>
  <c r="V12" i="133"/>
  <c r="M13" i="133"/>
  <c r="E22" i="140"/>
  <c r="C6" i="149"/>
  <c r="V6" i="133"/>
  <c r="F15" i="155"/>
  <c r="G15" i="155" s="1"/>
  <c r="O17" i="154"/>
  <c r="Q23" i="138"/>
  <c r="M6" i="152"/>
  <c r="M17" i="152" s="1"/>
  <c r="R20" i="138"/>
  <c r="Q19" i="138"/>
  <c r="Q22" i="138"/>
  <c r="Q25" i="138"/>
  <c r="E6" i="149" l="1"/>
  <c r="D18" i="154"/>
  <c r="L18" i="154"/>
  <c r="B18" i="154" s="1"/>
  <c r="C14" i="155"/>
  <c r="D18" i="152"/>
  <c r="J6" i="149"/>
  <c r="L16" i="152"/>
  <c r="B16" i="152" s="1"/>
  <c r="H6" i="149"/>
  <c r="D16" i="152"/>
  <c r="C16" i="152" s="1"/>
  <c r="C16" i="155"/>
  <c r="C12" i="155"/>
  <c r="D25" i="154"/>
  <c r="C25" i="154" s="1"/>
  <c r="D17" i="154"/>
  <c r="C17" i="154" s="1"/>
  <c r="D6" i="149"/>
  <c r="L19" i="140"/>
  <c r="B19" i="140" s="1"/>
  <c r="O6" i="149"/>
  <c r="D19" i="140"/>
  <c r="D20" i="138"/>
  <c r="H13" i="134"/>
  <c r="H14" i="134"/>
  <c r="C10" i="134"/>
  <c r="H15" i="134"/>
  <c r="H16" i="134"/>
  <c r="D25" i="140"/>
  <c r="C25" i="140" s="1"/>
  <c r="L20" i="140"/>
  <c r="B25" i="140" s="1"/>
  <c r="N6" i="149"/>
  <c r="D18" i="140"/>
  <c r="C18" i="140" s="1"/>
  <c r="L18" i="140"/>
  <c r="B18" i="140" s="1"/>
  <c r="D17" i="152"/>
  <c r="C17" i="152" s="1"/>
  <c r="L17" i="152"/>
  <c r="B17" i="152" s="1"/>
  <c r="I6" i="149"/>
  <c r="D20" i="153"/>
  <c r="H26" i="134"/>
  <c r="H25" i="134"/>
  <c r="H28" i="134"/>
  <c r="H27" i="134"/>
  <c r="C13" i="134"/>
  <c r="D17" i="153"/>
  <c r="D16" i="153"/>
  <c r="H22" i="134"/>
  <c r="D18" i="153"/>
  <c r="C12" i="134"/>
  <c r="H21" i="134"/>
  <c r="H24" i="134"/>
  <c r="H23" i="134"/>
  <c r="D15" i="153"/>
  <c r="D19" i="153"/>
  <c r="D14" i="153"/>
  <c r="D15" i="138"/>
  <c r="D14" i="138"/>
  <c r="D17" i="138"/>
  <c r="D16" i="138"/>
  <c r="D19" i="138"/>
  <c r="C9" i="134"/>
  <c r="H11" i="134"/>
  <c r="H10" i="134"/>
  <c r="D18" i="138"/>
  <c r="H12" i="134"/>
  <c r="H9" i="134"/>
  <c r="D12" i="155"/>
  <c r="C15" i="134"/>
  <c r="D22" i="138"/>
  <c r="H20" i="134"/>
  <c r="D24" i="138"/>
  <c r="D23" i="138"/>
  <c r="C11" i="134"/>
  <c r="D21" i="138"/>
  <c r="H17" i="134"/>
  <c r="H19" i="134"/>
  <c r="D25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<sst xmlns="http://schemas.openxmlformats.org/spreadsheetml/2006/main" count="684" uniqueCount="182">
  <si>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</si>
  <si>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</si>
  <si>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</si>
  <si>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</si>
  <si>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</si>
  <si>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</si>
  <si>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</si>
  <si>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</si>
  <si>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</si>
  <si>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</si>
  <si>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</si>
  <si>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</si>
  <si>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</si>
  <si>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</si>
  <si>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</si>
  <si>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</si>
  <si>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</si>
  <si>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</si>
  <si>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</si>
  <si>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</si>
  <si>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</si>
  <si>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</si>
  <si>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</si>
  <si>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</si>
  <si>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</si>
  <si>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</si>
  <si>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</si>
  <si>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</si>
  <si>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</si>
  <si>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</si>
  <si>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</si>
  <si>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</si>
  <si>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</si>
  <si>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</si>
  <si>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</si>
  <si>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</si>
  <si>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</si>
  <si>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</si>
  <si>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</si>
  <si>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</si>
  <si>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</si>
  <si>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</si>
  <si>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</si>
  <si>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</si>
  <si>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</si>
  <si>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</si>
  <si>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</si>
  <si>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</si>
  <si>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</si>
  <si>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</si>
  <si>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</si>
  <si>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</si>
  <si>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</si>
  <si>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</si>
  <si>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</si>
  <si>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</si>
  <si>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</si>
  <si>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</si>
  <si>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</si>
  <si>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</si>
  <si>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</si>
  <si>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</si>
  <si>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</si>
  <si>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</si>
  <si>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</si>
  <si>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</si>
  <si>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</si>
  <si>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</si>
  <si>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</si>
  <si>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</si>
  <si>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</si>
  <si>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</si>
  <si>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</si>
  <si>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</si>
  <si>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</si>
  <si>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</si>
  <si>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</si>
  <si>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</si>
  <si>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</si>
  <si>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</si>
  <si>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</si>
  <si>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</si>
  <si>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</si>
  <si>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</si>
  <si>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</si>
  <si>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</si>
  <si>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</si>
  <si>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</si>
  <si>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</si>
  <si>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</si>
  <si>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</si>
  <si>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</si>
  <si>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</si>
  <si>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</si>
  <si>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</si>
  <si>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</si>
  <si>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</si>
  <si>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</si>
  <si>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</si>
  <si>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</si>
  <si>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</si>
  <si>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SH</t>
  </si>
  <si>
    <t>AP</t>
  </si>
  <si>
    <t>OT</t>
  </si>
  <si>
    <t>Space Heating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</si>
  <si>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</si>
  <si>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</si>
  <si>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</si>
  <si>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</si>
  <si>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</si>
  <si>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</si>
  <si>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</si>
  <si>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</si>
  <si>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</si>
  <si>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</si>
  <si>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</si>
  <si>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</si>
  <si>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</si>
  <si>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</si>
  <si>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</si>
  <si>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</si>
  <si>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</si>
  <si>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</si>
  <si>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</si>
  <si>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</si>
  <si>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</si>
  <si>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SD</t>
  </si>
  <si>
    <t>SN</t>
  </si>
  <si>
    <t>WD</t>
  </si>
  <si>
    <t>WN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</si>
  <si>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</si>
  <si>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</si>
  <si>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</si>
  <si>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</si>
  <si>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</si>
  <si>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</si>
  <si>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</si>
  <si>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</si>
  <si>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</si>
  <si>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</si>
  <si>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</si>
  <si>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</si>
  <si>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</si>
  <si>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</si>
  <si>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</si>
  <si>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</si>
  <si>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</si>
  <si>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</si>
  <si>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</si>
  <si>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</si>
  <si>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</si>
  <si>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</si>
  <si>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</si>
  <si>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</si>
  <si>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</si>
  <si>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</si>
  <si>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</si>
  <si>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</si>
  <si>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</si>
  <si>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</si>
  <si>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</si>
  <si>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</si>
  <si>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</si>
  <si>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</si>
  <si>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</si>
  <si>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Relaxation factor</t>
  </si>
  <si>
    <t>Share-I~2050~UP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</si>
  <si>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</si>
  <si>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</si>
  <si>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</si>
  <si>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</si>
  <si>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</si>
  <si>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</si>
  <si>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</si>
  <si>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</si>
  <si>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</si>
  <si>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</si>
  <si>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</si>
  <si>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</si>
  <si>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uio</t>
  </si>
  <si>
    <t>iu</t>
  </si>
  <si>
    <t>yuio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</si>
</sst>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29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5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48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4" fillId="0" borderId="2" xfId="10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0" fillId="17" borderId="0" xfId="0" applyNumberFormat="1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0" fillId="17" borderId="2" xfId="0" applyNumberFormat="1" applyFill="1" applyBorder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5" xfId="17" applyFont="1" applyFill="1" applyBorder="1" applyAlignment="1">
      <alignment horizontal="left" vertical="center"/>
    </xf>
    <xf numFmtId="9" fontId="18" fillId="10" borderId="6" xfId="17" applyFont="1" applyFill="1" applyBorder="1" applyAlignment="1"/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9" fontId="9" fillId="15" borderId="14" xfId="17" applyFont="1" applyFill="1" applyBorder="1" applyAlignment="1">
      <alignment horizontal="left" vertical="center"/>
    </xf>
    <xf numFmtId="9" fontId="9" fillId="15" borderId="6" xfId="17" applyFont="1" applyFill="1" applyBorder="1" applyAlignment="1">
      <alignment horizontal="left" vertical="center"/>
    </xf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1" fontId="24" fillId="13" borderId="2" xfId="2" applyNumberFormat="1" applyFont="1" applyFill="1" applyBorder="1" applyAlignment="1">
      <alignment horizontal="right" wrapText="1"/>
    </xf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1" fontId="24" fillId="13" borderId="5" xfId="2" applyNumberFormat="1" applyFont="1" applyFill="1" applyBorder="1" applyAlignment="1">
      <alignment horizontal="right" wrapText="1"/>
    </xf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9" fontId="13" fillId="17" borderId="0" xfId="17" applyFont="1" applyFill="1"/>
    <xf numFmtId="2" fontId="4" fillId="16" borderId="5" xfId="10" applyNumberFormat="1" applyFill="1" applyBorder="1"/>
    <xf numFmtId="2" fontId="4" fillId="16" borderId="0" xfId="10" applyNumberFormat="1" applyFill="1"/>
    <xf numFmtId="9" fontId="13" fillId="16" borderId="0" xfId="17" applyFont="1" applyFill="1"/>
    <xf numFmtId="0" fontId="17" fillId="9" borderId="0" xfId="7"/>
    <xf numFmtId="9" fontId="17" fillId="9" borderId="0" xfId="7" applyNumberFormat="1" applyAlignment="1">
      <alignment horizontal="left"/>
    </xf>
    <xf numFmtId="0" fontId="3" fillId="14" borderId="1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0" fontId="3" fillId="14" borderId="6" xfId="0" applyFont="1" applyFill="1" applyBorder="1" applyAlignment="1">
      <alignment wrapText="1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</cellXfs>
  <cellStyles count="25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16</xdr:row>
      <xdr:rowOff>0</xdr:rowOff>
    </xdr:from>
    <xdr:to>
      <xdr:col>14</xdr:col>
      <xdr:colOff>3811972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29</xdr:row>
      <xdr:rowOff>19050</xdr:rowOff>
    </xdr:from>
    <xdr:to>
      <xdr:col>15</xdr:col>
      <xdr:colOff>3840547</xdr:colOff>
      <xdr:row>35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231.76075</v>
          </cell>
          <cell r="E16">
            <v>2063.9171999999999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895.44524999999999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37.001249999999999</v>
          </cell>
          <cell r="E17">
            <v>700.69200000000001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39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1233.0409000000002</v>
          </cell>
          <cell r="E18">
            <v>1774.8644000000002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541.25324999999998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28.665000000000003</v>
          </cell>
          <cell r="E19">
            <v>80.482399999999998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47.314499999999995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0.36140000000000005</v>
          </cell>
          <cell r="E20">
            <v>8.4995999999999992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120.75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773.00014999999871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34.094450000000002</v>
          </cell>
          <cell r="E22">
            <v>253.5292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44"/>
  <sheetViews>
    <sheetView tabSelected="1" zoomScale="80" zoomScaleNormal="80" workbookViewId="0">
      <selection activeCell="M37" sqref="M37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3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20" t="s">
        <v>92</v>
      </c>
      <c r="Y1" s="1" t="s">
        <v>93</v>
      </c>
      <c r="Z1" s="1" t="s">
        <v>94</v>
      </c>
      <c r="AA1" s="1" t="s">
        <v>106</v>
      </c>
    </row>
    <row r="2" spans="2:27" ht="15.75" x14ac:dyDescent="0.25">
      <c r="D2" s="37" t="s">
        <v>44</v>
      </c>
      <c r="E2" s="37" t="s">
        <v>45</v>
      </c>
      <c r="F2" s="37" t="s">
        <v>46</v>
      </c>
      <c r="G2" s="37" t="s">
        <v>134</v>
      </c>
      <c r="H2" s="37" t="s">
        <v>135</v>
      </c>
      <c r="I2" s="37" t="s">
        <v>136</v>
      </c>
      <c r="J2" s="37" t="s">
        <v>137</v>
      </c>
      <c r="K2" s="37" t="s">
        <v>138</v>
      </c>
      <c r="L2" s="37" t="s">
        <v>139</v>
      </c>
      <c r="M2" s="37" t="s">
        <v>140</v>
      </c>
      <c r="N2" s="37" t="s">
        <v>47</v>
      </c>
      <c r="O2" s="37" t="s">
        <v>168</v>
      </c>
      <c r="P2" s="37" t="s">
        <v>169</v>
      </c>
      <c r="Q2" s="37" t="s">
        <v>170</v>
      </c>
      <c r="R2" s="37" t="s">
        <v>171</v>
      </c>
      <c r="S2" s="37" t="s">
        <v>48</v>
      </c>
      <c r="T2" s="37" t="s">
        <v>49</v>
      </c>
      <c r="U2" s="37" t="s">
        <v>50</v>
      </c>
      <c r="V2" s="37" t="s">
        <v>160</v>
      </c>
      <c r="Y2" s="36" t="s">
        <v>153</v>
      </c>
      <c r="Z2" s="9" t="s">
        <v>76</v>
      </c>
      <c r="AA2" s="9" t="s">
        <v>107</v>
      </c>
    </row>
    <row r="3" spans="2:27" ht="25.5" x14ac:dyDescent="0.2">
      <c r="C3" s="62" t="s">
        <v>131</v>
      </c>
      <c r="D3" s="38" t="s">
        <v>51</v>
      </c>
      <c r="E3" s="38" t="s">
        <v>52</v>
      </c>
      <c r="F3" s="38" t="s">
        <v>176</v>
      </c>
      <c r="G3" s="38" t="s">
        <v>147</v>
      </c>
      <c r="H3" s="38" t="s">
        <v>143</v>
      </c>
      <c r="I3" s="38" t="s">
        <v>136</v>
      </c>
      <c r="J3" s="38" t="s">
        <v>144</v>
      </c>
      <c r="K3" s="38" t="s">
        <v>145</v>
      </c>
      <c r="L3" s="38" t="s">
        <v>141</v>
      </c>
      <c r="M3" s="38" t="s">
        <v>142</v>
      </c>
      <c r="N3" s="38" t="s">
        <v>53</v>
      </c>
      <c r="O3" s="38" t="s">
        <v>172</v>
      </c>
      <c r="P3" s="38" t="s">
        <v>173</v>
      </c>
      <c r="Q3" s="38" t="s">
        <v>174</v>
      </c>
      <c r="R3" s="38" t="s">
        <v>175</v>
      </c>
      <c r="S3" s="38" t="s">
        <v>54</v>
      </c>
      <c r="T3" s="38" t="s">
        <v>55</v>
      </c>
      <c r="U3" s="38" t="s">
        <v>87</v>
      </c>
      <c r="V3" s="38" t="s">
        <v>56</v>
      </c>
    </row>
    <row r="4" spans="2:27" x14ac:dyDescent="0.2">
      <c r="B4" s="35"/>
      <c r="C4" s="81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2"/>
    </row>
    <row r="5" spans="2:27" ht="15" x14ac:dyDescent="0.25">
      <c r="B5" s="39" t="s">
        <v>58</v>
      </c>
      <c r="C5" s="48" t="s">
        <v>59</v>
      </c>
      <c r="D5" s="44">
        <f>[2]EB1!D16</f>
        <v>231.76075</v>
      </c>
      <c r="E5" s="44">
        <f>[2]EB1!E16</f>
        <v>2063.9171999999999</v>
      </c>
      <c r="F5" s="83">
        <f>[2]EB1!F16</f>
        <v>0</v>
      </c>
      <c r="G5" s="44">
        <f>[2]EB1!G16</f>
        <v>862.053</v>
      </c>
      <c r="H5" s="44">
        <f>[2]EB1!H16</f>
        <v>72.9495</v>
      </c>
      <c r="I5" s="44">
        <f>[2]EB1!I16</f>
        <v>190.17599999999999</v>
      </c>
      <c r="J5" s="44">
        <f>[2]EB1!J16</f>
        <v>3.1680000000000001</v>
      </c>
      <c r="K5" s="83">
        <f>[2]EB1!K16</f>
        <v>0</v>
      </c>
      <c r="L5" s="44">
        <f>[2]EB1!L16</f>
        <v>15.38</v>
      </c>
      <c r="M5" s="44">
        <f>[2]EB1!M16</f>
        <v>0.92</v>
      </c>
      <c r="N5" s="83">
        <f>[2]EB1!N16</f>
        <v>0</v>
      </c>
      <c r="O5" s="44">
        <f>[2]EB1!O16</f>
        <v>895.44524999999999</v>
      </c>
      <c r="P5" s="83">
        <f>[2]EB1!P16</f>
        <v>0</v>
      </c>
      <c r="Q5" s="83">
        <f>[2]EB1!Q16</f>
        <v>0</v>
      </c>
      <c r="R5" s="44">
        <f>[2]EB1!R16</f>
        <v>50</v>
      </c>
      <c r="S5" s="83">
        <f>[2]EB1!S16</f>
        <v>0</v>
      </c>
      <c r="T5" s="83">
        <f>[2]EB1!T16</f>
        <v>432.74250000000001</v>
      </c>
      <c r="U5" s="44">
        <f>[2]EB1!U16</f>
        <v>1435.8710000000001</v>
      </c>
      <c r="V5" s="84">
        <f t="shared" ref="V5:V12" si="0">SUM(D5:U5)</f>
        <v>6254.3832000000002</v>
      </c>
    </row>
    <row r="6" spans="2:27" ht="15" x14ac:dyDescent="0.25">
      <c r="B6" s="39" t="s">
        <v>60</v>
      </c>
      <c r="C6" s="49" t="s">
        <v>61</v>
      </c>
      <c r="D6" s="44">
        <f>[2]EB1!D17</f>
        <v>37.001249999999999</v>
      </c>
      <c r="E6" s="44">
        <f>[2]EB1!E17</f>
        <v>700.69200000000001</v>
      </c>
      <c r="F6" s="83">
        <f>[2]EB1!F17</f>
        <v>0</v>
      </c>
      <c r="G6" s="44">
        <f>[2]EB1!G17</f>
        <v>368.84399999999999</v>
      </c>
      <c r="H6" s="44">
        <f>[2]EB1!H17</f>
        <v>1.677</v>
      </c>
      <c r="I6" s="44">
        <f>[2]EB1!I17</f>
        <v>31.602</v>
      </c>
      <c r="J6" s="44">
        <f>[2]EB1!J17</f>
        <v>5.72</v>
      </c>
      <c r="K6" s="83">
        <f>[2]EB1!K17</f>
        <v>0</v>
      </c>
      <c r="L6" s="44">
        <f>[2]EB1!L17</f>
        <v>19.32</v>
      </c>
      <c r="M6" s="44">
        <f>[2]EB1!M17</f>
        <v>0.24199999999999999</v>
      </c>
      <c r="N6" s="83">
        <f>[2]EB1!N17</f>
        <v>0</v>
      </c>
      <c r="O6" s="44">
        <f>[2]EB1!O17</f>
        <v>39</v>
      </c>
      <c r="P6" s="83">
        <f>[2]EB1!P17</f>
        <v>0</v>
      </c>
      <c r="Q6" s="83">
        <f>[2]EB1!Q17</f>
        <v>0</v>
      </c>
      <c r="R6" s="44">
        <f>[2]EB1!R17</f>
        <v>7.5</v>
      </c>
      <c r="S6" s="83">
        <f>[2]EB1!S17</f>
        <v>0.60850000000000004</v>
      </c>
      <c r="T6" s="83">
        <f>[2]EB1!T17</f>
        <v>127.32299999999999</v>
      </c>
      <c r="U6" s="44">
        <f>[2]EB1!U17</f>
        <v>1263.6955</v>
      </c>
      <c r="V6" s="84">
        <f t="shared" si="0"/>
        <v>2603.2252500000004</v>
      </c>
    </row>
    <row r="7" spans="2:27" x14ac:dyDescent="0.2">
      <c r="B7" s="39" t="s">
        <v>62</v>
      </c>
      <c r="C7" s="49" t="s">
        <v>63</v>
      </c>
      <c r="D7" s="83">
        <f>[2]EB1!D18</f>
        <v>1233.0409000000002</v>
      </c>
      <c r="E7" s="83">
        <f>[2]EB1!E18</f>
        <v>1774.8644000000002</v>
      </c>
      <c r="F7" s="83">
        <f>[2]EB1!F18</f>
        <v>0</v>
      </c>
      <c r="G7" s="83">
        <f>[2]EB1!G18</f>
        <v>298.68</v>
      </c>
      <c r="H7" s="83">
        <f>[2]EB1!H18</f>
        <v>36.356499999999997</v>
      </c>
      <c r="I7" s="83">
        <f>[2]EB1!I18</f>
        <v>142.97149999999999</v>
      </c>
      <c r="J7" s="83">
        <f>[2]EB1!J18</f>
        <v>7.766</v>
      </c>
      <c r="K7" s="83">
        <f>[2]EB1!K18</f>
        <v>44.066000000000003</v>
      </c>
      <c r="L7" s="83">
        <f>[2]EB1!L18</f>
        <v>286.0505</v>
      </c>
      <c r="M7" s="83">
        <f>[2]EB1!M18</f>
        <v>191.57300000000001</v>
      </c>
      <c r="N7" s="83">
        <f>[2]EB1!N18</f>
        <v>0</v>
      </c>
      <c r="O7" s="83">
        <f>[2]EB1!O18</f>
        <v>541.25324999999998</v>
      </c>
      <c r="P7" s="83">
        <f>[2]EB1!P18</f>
        <v>0</v>
      </c>
      <c r="Q7" s="83">
        <f>[2]EB1!Q18</f>
        <v>0</v>
      </c>
      <c r="R7" s="83">
        <f>[2]EB1!R18</f>
        <v>0</v>
      </c>
      <c r="S7" s="83">
        <f>[2]EB1!S18</f>
        <v>58.595999999999997</v>
      </c>
      <c r="T7" s="83">
        <f>[2]EB1!T18</f>
        <v>316.79149999999998</v>
      </c>
      <c r="U7" s="83">
        <f>[2]EB1!U18</f>
        <v>2044.222</v>
      </c>
      <c r="V7" s="84">
        <f t="shared" si="0"/>
        <v>6976.2315499999995</v>
      </c>
    </row>
    <row r="8" spans="2:27" ht="15" x14ac:dyDescent="0.25">
      <c r="B8" s="39" t="s">
        <v>64</v>
      </c>
      <c r="C8" s="49" t="s">
        <v>65</v>
      </c>
      <c r="D8" s="83">
        <f>[2]EB1!D19</f>
        <v>28.665000000000003</v>
      </c>
      <c r="E8" s="83">
        <f>[2]EB1!E19</f>
        <v>80.482399999999998</v>
      </c>
      <c r="F8" s="83">
        <f>[2]EB1!F19</f>
        <v>0</v>
      </c>
      <c r="G8" s="83">
        <f>[2]EB1!G19</f>
        <v>366.58800000000002</v>
      </c>
      <c r="H8" s="83">
        <f>[2]EB1!H19</f>
        <v>0.47299999999999998</v>
      </c>
      <c r="I8" s="83">
        <f>[2]EB1!I19</f>
        <v>16.169</v>
      </c>
      <c r="J8" s="83">
        <f>[2]EB1!J19</f>
        <v>1.716</v>
      </c>
      <c r="K8" s="83">
        <f>[2]EB1!K19</f>
        <v>0</v>
      </c>
      <c r="L8" s="83">
        <f>[2]EB1!L19</f>
        <v>13.74</v>
      </c>
      <c r="M8" s="83">
        <f>[2]EB1!M19</f>
        <v>0</v>
      </c>
      <c r="N8" s="83">
        <f>[2]EB1!N19</f>
        <v>0</v>
      </c>
      <c r="O8" s="83">
        <f>[2]EB1!O19</f>
        <v>47.314499999999995</v>
      </c>
      <c r="P8" s="83">
        <f>[2]EB1!P19</f>
        <v>0</v>
      </c>
      <c r="Q8" s="83">
        <f>[2]EB1!Q19</f>
        <v>0</v>
      </c>
      <c r="R8" s="83">
        <f>[2]EB1!R19</f>
        <v>0</v>
      </c>
      <c r="S8" s="83">
        <f>[2]EB1!S19</f>
        <v>5.0000000000000001E-4</v>
      </c>
      <c r="T8" s="83">
        <f>[2]EB1!T19</f>
        <v>7.7869999999999999</v>
      </c>
      <c r="U8" s="83">
        <f>[2]EB1!U19</f>
        <v>9.6930000000000014</v>
      </c>
      <c r="V8" s="44">
        <f t="shared" si="0"/>
        <v>572.62840000000006</v>
      </c>
    </row>
    <row r="9" spans="2:27" x14ac:dyDescent="0.2">
      <c r="B9" s="39" t="s">
        <v>66</v>
      </c>
      <c r="C9" s="49" t="s">
        <v>67</v>
      </c>
      <c r="D9" s="83">
        <f>[2]EB1!D20</f>
        <v>0.36140000000000005</v>
      </c>
      <c r="E9" s="83">
        <f>[2]EB1!E20</f>
        <v>8.4995999999999992</v>
      </c>
      <c r="F9" s="83">
        <f>[2]EB1!F20</f>
        <v>0</v>
      </c>
      <c r="G9" s="83">
        <f>[2]EB1!G20</f>
        <v>3856.2855</v>
      </c>
      <c r="H9" s="83">
        <f>[2]EB1!H20</f>
        <v>1047.652</v>
      </c>
      <c r="I9" s="83">
        <f>[2]EB1!I20</f>
        <v>94.230999999999995</v>
      </c>
      <c r="J9" s="83">
        <f>[2]EB1!J20</f>
        <v>2394.2159999999999</v>
      </c>
      <c r="K9" s="83">
        <f>[2]EB1!K20</f>
        <v>0</v>
      </c>
      <c r="L9" s="83">
        <f>[2]EB1!L20</f>
        <v>33.24</v>
      </c>
      <c r="M9" s="83">
        <f>[2]EB1!M20</f>
        <v>0</v>
      </c>
      <c r="N9" s="83">
        <f>[2]EB1!N20</f>
        <v>0</v>
      </c>
      <c r="O9" s="83">
        <f>[2]EB1!O20</f>
        <v>120.75</v>
      </c>
      <c r="P9" s="83">
        <f>[2]EB1!P20</f>
        <v>0</v>
      </c>
      <c r="Q9" s="83">
        <f>[2]EB1!Q20</f>
        <v>0</v>
      </c>
      <c r="R9" s="83">
        <f>[2]EB1!R20</f>
        <v>0</v>
      </c>
      <c r="S9" s="83">
        <f>[2]EB1!S20</f>
        <v>0</v>
      </c>
      <c r="T9" s="83">
        <f>[2]EB1!T20</f>
        <v>0</v>
      </c>
      <c r="U9" s="83">
        <f>[2]EB1!U20</f>
        <v>132.98599999999999</v>
      </c>
      <c r="V9" s="84">
        <f t="shared" si="0"/>
        <v>7688.2214999999987</v>
      </c>
    </row>
    <row r="10" spans="2:27" x14ac:dyDescent="0.2">
      <c r="B10" s="39" t="s">
        <v>68</v>
      </c>
      <c r="C10" s="50" t="s">
        <v>69</v>
      </c>
      <c r="D10" s="43">
        <f>[2]EB1!D21</f>
        <v>773.00014999999871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0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0</v>
      </c>
      <c r="T10" s="43">
        <f>[2]EB1!T21</f>
        <v>313.51900000000001</v>
      </c>
      <c r="U10" s="43">
        <f>[2]EB1!U21</f>
        <v>325</v>
      </c>
      <c r="V10" s="85">
        <f t="shared" si="0"/>
        <v>1411.5191499999987</v>
      </c>
    </row>
    <row r="11" spans="2:27" x14ac:dyDescent="0.2">
      <c r="B11" s="39" t="s">
        <v>85</v>
      </c>
      <c r="C11" s="49" t="s">
        <v>70</v>
      </c>
      <c r="D11" s="83">
        <f>[2]EB1!D22</f>
        <v>34.094450000000002</v>
      </c>
      <c r="E11" s="83">
        <f>[2]EB1!E22</f>
        <v>253.5292</v>
      </c>
      <c r="F11" s="83">
        <f>[2]EB1!F22</f>
        <v>0</v>
      </c>
      <c r="G11" s="83">
        <f>[2]EB1!G22</f>
        <v>76.465000000000003</v>
      </c>
      <c r="H11" s="83">
        <f>[2]EB1!H22</f>
        <v>4.7945000000000002</v>
      </c>
      <c r="I11" s="83">
        <f>[2]EB1!I22</f>
        <v>199.87350000000001</v>
      </c>
      <c r="J11" s="83">
        <f>[2]EB1!J22</f>
        <v>3.1459999999999999</v>
      </c>
      <c r="K11" s="83">
        <f>[2]EB1!K22</f>
        <v>899.20600000000002</v>
      </c>
      <c r="L11" s="83">
        <f>[2]EB1!L22</f>
        <v>52.04</v>
      </c>
      <c r="M11" s="83">
        <f>[2]EB1!M22</f>
        <v>800.72900000000004</v>
      </c>
      <c r="N11" s="83">
        <f>[2]EB1!N22</f>
        <v>0</v>
      </c>
      <c r="O11" s="83">
        <f>[2]EB1!O22</f>
        <v>0</v>
      </c>
      <c r="P11" s="83">
        <f>[2]EB1!P22</f>
        <v>0</v>
      </c>
      <c r="Q11" s="83">
        <f>[2]EB1!Q22</f>
        <v>0</v>
      </c>
      <c r="R11" s="83">
        <f>[2]EB1!R22</f>
        <v>0</v>
      </c>
      <c r="S11" s="83">
        <f>[2]EB1!S22</f>
        <v>0</v>
      </c>
      <c r="T11" s="83">
        <f>[2]EB1!T22</f>
        <v>0</v>
      </c>
      <c r="U11" s="83">
        <f>[2]EB1!U22</f>
        <v>0</v>
      </c>
      <c r="V11" s="84">
        <f t="shared" si="0"/>
        <v>2323.8776500000004</v>
      </c>
    </row>
    <row r="12" spans="2:27" x14ac:dyDescent="0.2">
      <c r="B12" s="39" t="s">
        <v>86</v>
      </c>
      <c r="C12" s="49" t="s">
        <v>71</v>
      </c>
      <c r="D12" s="83">
        <f>[2]EB1!D23</f>
        <v>0</v>
      </c>
      <c r="E12" s="83">
        <f>[2]EB1!E23</f>
        <v>0</v>
      </c>
      <c r="F12" s="83">
        <f>[2]EB1!F23</f>
        <v>0</v>
      </c>
      <c r="G12" s="83">
        <f>[2]EB1!G23</f>
        <v>146.90600000000001</v>
      </c>
      <c r="H12" s="83">
        <f>[2]EB1!H23</f>
        <v>0</v>
      </c>
      <c r="I12" s="83">
        <f>[2]EB1!I23</f>
        <v>0</v>
      </c>
      <c r="J12" s="83">
        <f>[2]EB1!J23</f>
        <v>0</v>
      </c>
      <c r="K12" s="83">
        <f>[2]EB1!K23</f>
        <v>0</v>
      </c>
      <c r="L12" s="83">
        <f>[2]EB1!L23</f>
        <v>902.14</v>
      </c>
      <c r="M12" s="83">
        <f>[2]EB1!M23</f>
        <v>6.5</v>
      </c>
      <c r="N12" s="83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83">
        <f>[2]EB1!R23</f>
        <v>0</v>
      </c>
      <c r="S12" s="83">
        <f>[2]EB1!S23</f>
        <v>0</v>
      </c>
      <c r="T12" s="83">
        <f>[2]EB1!T23</f>
        <v>0</v>
      </c>
      <c r="U12" s="83">
        <f>[2]EB1!U23</f>
        <v>0</v>
      </c>
      <c r="V12" s="84">
        <f t="shared" si="0"/>
        <v>1055.546</v>
      </c>
    </row>
    <row r="13" spans="2:27" ht="15" x14ac:dyDescent="0.25">
      <c r="B13" s="80" t="s">
        <v>88</v>
      </c>
      <c r="C13" s="47" t="s">
        <v>159</v>
      </c>
      <c r="D13" s="45">
        <f t="shared" ref="D13:V13" si="1">SUM(D5:D12)</f>
        <v>2337.9238999999989</v>
      </c>
      <c r="E13" s="45">
        <f t="shared" si="1"/>
        <v>4881.9848000000002</v>
      </c>
      <c r="F13" s="45">
        <f t="shared" si="1"/>
        <v>0</v>
      </c>
      <c r="G13" s="45">
        <f t="shared" si="1"/>
        <v>5975.8215</v>
      </c>
      <c r="H13" s="45">
        <f t="shared" si="1"/>
        <v>1163.9024999999999</v>
      </c>
      <c r="I13" s="45">
        <f t="shared" si="1"/>
        <v>675.02300000000002</v>
      </c>
      <c r="J13" s="45">
        <f t="shared" si="1"/>
        <v>2415.732</v>
      </c>
      <c r="K13" s="45">
        <f t="shared" si="1"/>
        <v>943.27200000000005</v>
      </c>
      <c r="L13" s="45">
        <f t="shared" si="1"/>
        <v>1321.9105</v>
      </c>
      <c r="M13" s="45">
        <f t="shared" si="1"/>
        <v>999.96400000000006</v>
      </c>
      <c r="N13" s="45">
        <f t="shared" si="1"/>
        <v>0</v>
      </c>
      <c r="O13" s="45">
        <f t="shared" si="1"/>
        <v>1643.7629999999999</v>
      </c>
      <c r="P13" s="45">
        <f t="shared" si="1"/>
        <v>0</v>
      </c>
      <c r="Q13" s="45">
        <f t="shared" si="1"/>
        <v>0</v>
      </c>
      <c r="R13" s="45">
        <f t="shared" si="1"/>
        <v>57.5</v>
      </c>
      <c r="S13" s="45">
        <f t="shared" si="1"/>
        <v>59.204999999999998</v>
      </c>
      <c r="T13" s="45">
        <f t="shared" si="1"/>
        <v>1198.163</v>
      </c>
      <c r="U13" s="45">
        <f>SUM(U5:U12)</f>
        <v>5211.4674999999997</v>
      </c>
      <c r="V13" s="46">
        <f t="shared" si="1"/>
        <v>28885.632699999998</v>
      </c>
    </row>
    <row r="14" spans="2:27" x14ac:dyDescent="0.2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">
      <c r="D15" s="6"/>
      <c r="F15" s="6"/>
      <c r="G15" s="6"/>
      <c r="H15" s="6"/>
      <c r="I15" s="6"/>
      <c r="J15" s="6"/>
      <c r="K15" s="6"/>
      <c r="L15" s="6"/>
      <c r="M15" s="6"/>
    </row>
    <row r="16" spans="2:27" ht="15" x14ac:dyDescent="0.25">
      <c r="C16" s="44" t="s">
        <v>154</v>
      </c>
      <c r="D16" s="44"/>
      <c r="E16" s="44"/>
      <c r="F16" s="6"/>
      <c r="G16" s="6"/>
      <c r="H16" s="6"/>
      <c r="I16" s="6"/>
      <c r="J16" s="6"/>
      <c r="K16" s="6"/>
      <c r="L16" s="6"/>
      <c r="M16" s="6"/>
    </row>
    <row r="17" spans="2:24" x14ac:dyDescent="0.2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">
      <c r="D18" s="6"/>
      <c r="F18" s="6"/>
      <c r="G18" s="6"/>
      <c r="H18" s="6"/>
      <c r="I18" s="6"/>
      <c r="J18" s="6"/>
      <c r="K18" s="6"/>
      <c r="L18" s="6"/>
      <c r="M18" s="6"/>
    </row>
    <row r="19" spans="2:24" ht="25.5" x14ac:dyDescent="0.2">
      <c r="B19" s="22" t="s">
        <v>100</v>
      </c>
      <c r="C19" s="55" t="s">
        <v>118</v>
      </c>
      <c r="D19" s="136" t="s">
        <v>51</v>
      </c>
      <c r="E19" s="137" t="s">
        <v>52</v>
      </c>
      <c r="F19" s="137" t="s">
        <v>133</v>
      </c>
      <c r="G19" s="137" t="s">
        <v>147</v>
      </c>
      <c r="H19" s="137" t="s">
        <v>143</v>
      </c>
      <c r="I19" s="137" t="s">
        <v>136</v>
      </c>
      <c r="J19" s="137" t="s">
        <v>144</v>
      </c>
      <c r="K19" s="137" t="s">
        <v>145</v>
      </c>
      <c r="L19" s="137" t="s">
        <v>141</v>
      </c>
      <c r="M19" s="137" t="s">
        <v>142</v>
      </c>
      <c r="N19" s="137" t="s">
        <v>53</v>
      </c>
      <c r="O19" s="137" t="s">
        <v>172</v>
      </c>
      <c r="P19" s="137" t="s">
        <v>173</v>
      </c>
      <c r="Q19" s="137" t="s">
        <v>174</v>
      </c>
      <c r="R19" s="137" t="s">
        <v>175</v>
      </c>
      <c r="S19" s="137" t="s">
        <v>54</v>
      </c>
      <c r="T19" s="137" t="s">
        <v>55</v>
      </c>
      <c r="U19" s="138" t="s">
        <v>87</v>
      </c>
      <c r="V19" s="38" t="s">
        <v>56</v>
      </c>
    </row>
    <row r="20" spans="2:24" ht="15" x14ac:dyDescent="0.25">
      <c r="B20" s="87" t="s">
        <v>64</v>
      </c>
      <c r="C20" s="51" t="s">
        <v>103</v>
      </c>
      <c r="D20" s="108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9"/>
      <c r="V20" s="103">
        <v>1</v>
      </c>
      <c r="W20" s="88"/>
      <c r="X20" s="52" t="s">
        <v>35</v>
      </c>
    </row>
    <row r="21" spans="2:24" ht="15" x14ac:dyDescent="0.25">
      <c r="B21" s="87" t="s">
        <v>58</v>
      </c>
      <c r="C21" s="51" t="s">
        <v>101</v>
      </c>
      <c r="D21" s="104"/>
      <c r="E21" s="61">
        <v>0.75</v>
      </c>
      <c r="F21" s="105"/>
      <c r="G21" s="61">
        <v>0.75</v>
      </c>
      <c r="H21" s="61">
        <v>0.75</v>
      </c>
      <c r="I21" s="61">
        <v>0.75</v>
      </c>
      <c r="J21" s="61">
        <v>0.75</v>
      </c>
      <c r="K21" s="105"/>
      <c r="L21" s="61">
        <v>0.75</v>
      </c>
      <c r="M21" s="61">
        <v>0.75</v>
      </c>
      <c r="N21" s="105"/>
      <c r="O21" s="61">
        <v>0.9</v>
      </c>
      <c r="P21" s="105"/>
      <c r="Q21" s="105"/>
      <c r="R21" s="61">
        <v>1</v>
      </c>
      <c r="S21" s="105"/>
      <c r="T21" s="105"/>
      <c r="U21" s="98">
        <v>0.1</v>
      </c>
      <c r="V21" s="51"/>
      <c r="W21" s="88"/>
      <c r="X21" s="52" t="s">
        <v>104</v>
      </c>
    </row>
    <row r="22" spans="2:24" ht="15" x14ac:dyDescent="0.25">
      <c r="B22" s="87" t="s">
        <v>58</v>
      </c>
      <c r="C22" s="40" t="s">
        <v>102</v>
      </c>
      <c r="D22" s="104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98">
        <v>0.9</v>
      </c>
      <c r="V22" s="40"/>
      <c r="W22" s="88"/>
      <c r="X22" s="53" t="s">
        <v>105</v>
      </c>
    </row>
    <row r="23" spans="2:24" ht="15" x14ac:dyDescent="0.25">
      <c r="B23" s="87" t="s">
        <v>58</v>
      </c>
      <c r="C23" s="42" t="s">
        <v>103</v>
      </c>
      <c r="D23" s="106">
        <f>1-D21-D22</f>
        <v>1</v>
      </c>
      <c r="E23" s="107">
        <f>1-E21-E22</f>
        <v>0.25</v>
      </c>
      <c r="F23" s="101"/>
      <c r="G23" s="107">
        <f>1-G21-G22</f>
        <v>0.25</v>
      </c>
      <c r="H23" s="107">
        <f>1-H21-H22</f>
        <v>0.25</v>
      </c>
      <c r="I23" s="107">
        <f>1-I21-I22</f>
        <v>0.25</v>
      </c>
      <c r="J23" s="107">
        <f>1-J21-J22</f>
        <v>0.25</v>
      </c>
      <c r="K23" s="101"/>
      <c r="L23" s="107">
        <f>1-L21-L22</f>
        <v>0.25</v>
      </c>
      <c r="M23" s="107">
        <f>1-M21-M22</f>
        <v>0.25</v>
      </c>
      <c r="N23" s="101"/>
      <c r="O23" s="107">
        <f>1-O21-O22</f>
        <v>9.9999999999999978E-2</v>
      </c>
      <c r="P23" s="101"/>
      <c r="Q23" s="101"/>
      <c r="R23" s="107">
        <v>0</v>
      </c>
      <c r="S23" s="101"/>
      <c r="T23" s="101"/>
      <c r="U23" s="120">
        <f>1-U21-U22</f>
        <v>0</v>
      </c>
      <c r="V23" s="42"/>
      <c r="W23" s="88"/>
      <c r="X23" s="54" t="s">
        <v>69</v>
      </c>
    </row>
    <row r="24" spans="2:24" ht="15" x14ac:dyDescent="0.25">
      <c r="B24" s="87" t="s">
        <v>60</v>
      </c>
      <c r="C24" s="51" t="s">
        <v>101</v>
      </c>
      <c r="D24" s="104"/>
      <c r="E24" s="61">
        <v>0.7</v>
      </c>
      <c r="F24" s="105"/>
      <c r="G24" s="61">
        <v>0.7</v>
      </c>
      <c r="H24" s="61">
        <v>0.7</v>
      </c>
      <c r="I24" s="61">
        <v>0.7</v>
      </c>
      <c r="J24" s="61">
        <v>0.7</v>
      </c>
      <c r="K24" s="105"/>
      <c r="L24" s="61">
        <v>0.7</v>
      </c>
      <c r="M24" s="61">
        <v>0.7</v>
      </c>
      <c r="N24" s="105"/>
      <c r="O24" s="61">
        <v>0.9</v>
      </c>
      <c r="P24" s="105"/>
      <c r="Q24" s="105"/>
      <c r="R24" s="61">
        <v>1</v>
      </c>
      <c r="S24" s="105"/>
      <c r="T24" s="105"/>
      <c r="U24" s="98">
        <v>0.05</v>
      </c>
      <c r="V24" s="51"/>
      <c r="W24" s="88"/>
      <c r="X24" s="52" t="s">
        <v>104</v>
      </c>
    </row>
    <row r="25" spans="2:24" ht="15" x14ac:dyDescent="0.25">
      <c r="B25" s="87" t="s">
        <v>60</v>
      </c>
      <c r="C25" s="40" t="s">
        <v>102</v>
      </c>
      <c r="D25" s="104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98">
        <v>0.9</v>
      </c>
      <c r="V25" s="40"/>
      <c r="W25" s="88"/>
      <c r="X25" s="53" t="s">
        <v>105</v>
      </c>
    </row>
    <row r="26" spans="2:24" ht="15" x14ac:dyDescent="0.25">
      <c r="B26" s="87" t="s">
        <v>60</v>
      </c>
      <c r="C26" s="42" t="s">
        <v>103</v>
      </c>
      <c r="D26" s="106">
        <f>1-D24-D25</f>
        <v>1</v>
      </c>
      <c r="E26" s="107">
        <f>1-E24-E25</f>
        <v>0.30000000000000004</v>
      </c>
      <c r="F26" s="101"/>
      <c r="G26" s="107">
        <f>1-G24-G25</f>
        <v>0.30000000000000004</v>
      </c>
      <c r="H26" s="107">
        <f>1-H24-H25</f>
        <v>0.30000000000000004</v>
      </c>
      <c r="I26" s="107">
        <f>1-I24-I25</f>
        <v>0.30000000000000004</v>
      </c>
      <c r="J26" s="107">
        <f>1-J24-J25</f>
        <v>0.30000000000000004</v>
      </c>
      <c r="K26" s="101"/>
      <c r="L26" s="107">
        <f>1-L24-L25</f>
        <v>0.30000000000000004</v>
      </c>
      <c r="M26" s="107">
        <f>1-M24-M25</f>
        <v>0.30000000000000004</v>
      </c>
      <c r="N26" s="101"/>
      <c r="O26" s="107">
        <v>0.1</v>
      </c>
      <c r="P26" s="101"/>
      <c r="Q26" s="101"/>
      <c r="R26" s="107">
        <f>1-R24-R25</f>
        <v>0</v>
      </c>
      <c r="S26" s="101"/>
      <c r="T26" s="101"/>
      <c r="U26" s="120">
        <f>1-U24-U25</f>
        <v>4.9999999999999933E-2</v>
      </c>
      <c r="V26" s="42"/>
      <c r="W26" s="88"/>
      <c r="X26" s="54" t="s">
        <v>69</v>
      </c>
    </row>
    <row r="29" spans="2:24" x14ac:dyDescent="0.2">
      <c r="C29" s="58" t="s">
        <v>109</v>
      </c>
      <c r="D29" s="60" t="s">
        <v>110</v>
      </c>
      <c r="E29" s="59" t="s">
        <v>111</v>
      </c>
    </row>
    <row r="30" spans="2:24" x14ac:dyDescent="0.2">
      <c r="B30" s="20" t="s">
        <v>119</v>
      </c>
      <c r="C30" s="89" t="s">
        <v>112</v>
      </c>
      <c r="D30" s="89" t="s">
        <v>113</v>
      </c>
      <c r="E30" s="90" t="s">
        <v>111</v>
      </c>
    </row>
    <row r="31" spans="2:24" x14ac:dyDescent="0.2">
      <c r="B31" s="39" t="s">
        <v>64</v>
      </c>
      <c r="C31" s="91">
        <v>1</v>
      </c>
      <c r="D31" s="92"/>
      <c r="E31" s="93"/>
    </row>
    <row r="32" spans="2:24" x14ac:dyDescent="0.2">
      <c r="B32" s="39" t="s">
        <v>58</v>
      </c>
      <c r="C32" s="94">
        <v>1</v>
      </c>
      <c r="D32" s="56"/>
      <c r="E32" s="95"/>
    </row>
    <row r="33" spans="2:17" x14ac:dyDescent="0.2">
      <c r="B33" s="39" t="s">
        <v>60</v>
      </c>
      <c r="C33" s="96">
        <v>1</v>
      </c>
      <c r="D33" s="57"/>
      <c r="E33" s="97"/>
    </row>
    <row r="35" spans="2:17" x14ac:dyDescent="0.2">
      <c r="Q35" t="s">
        <v>180</v>
      </c>
    </row>
    <row r="37" spans="2:17" x14ac:dyDescent="0.2">
      <c r="M37" t="s">
        <v>179</v>
      </c>
    </row>
    <row r="38" spans="2:17" x14ac:dyDescent="0.2">
      <c r="M38" t="s">
        <v>179</v>
      </c>
    </row>
    <row r="40" spans="2:17" x14ac:dyDescent="0.2">
      <c r="F40" t="s">
        <v>181</v>
      </c>
    </row>
    <row r="44" spans="2:17" x14ac:dyDescent="0.2">
      <c r="I44" t="s">
        <v>179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4" max="4" width="5.42578125" customWidth="1"/>
  </cols>
  <sheetData>
    <row r="3" spans="2:10" ht="18" x14ac:dyDescent="0.25">
      <c r="B3" s="72" t="s">
        <v>158</v>
      </c>
    </row>
    <row r="5" spans="2:10" x14ac:dyDescent="0.2">
      <c r="E5" s="73" t="s">
        <v>167</v>
      </c>
      <c r="F5" s="73"/>
      <c r="G5" s="73"/>
      <c r="H5" s="73"/>
      <c r="I5" s="73"/>
      <c r="J5" s="7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zoomScaleNormal="100" workbookViewId="0">
      <selection activeCell="H26" sqref="H26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75" x14ac:dyDescent="0.25">
      <c r="B2" s="9" t="str">
        <f>'EB1'!B8</f>
        <v>AGR</v>
      </c>
      <c r="C2" s="9" t="str">
        <f>'EB1'!C8</f>
        <v>Agriculture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2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4" thickBot="1" x14ac:dyDescent="0.3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2">
      <c r="E5" s="11"/>
      <c r="F5" s="11"/>
      <c r="G5" s="71"/>
      <c r="H5" s="10"/>
      <c r="J5" s="144" t="s">
        <v>72</v>
      </c>
      <c r="K5" s="144"/>
      <c r="L5" s="144" t="str">
        <f>$B$2&amp;'EB1'!$D$2</f>
        <v>AGRCOA</v>
      </c>
      <c r="M5" s="145" t="str">
        <f>$C$2&amp;" "&amp;'EB1'!$D$3</f>
        <v>Agriculture Solid Fuels</v>
      </c>
      <c r="N5" s="144" t="str">
        <f>$E$2</f>
        <v>PJ</v>
      </c>
      <c r="O5" s="144"/>
      <c r="P5" s="144"/>
      <c r="Q5" s="144"/>
      <c r="R5" s="144"/>
    </row>
    <row r="6" spans="2:18" x14ac:dyDescent="0.2">
      <c r="E6" s="11"/>
      <c r="F6" s="11"/>
      <c r="G6" s="71"/>
      <c r="H6" s="10"/>
      <c r="J6" s="144"/>
      <c r="K6" s="144"/>
      <c r="L6" s="144" t="str">
        <f>$B$2&amp;'EB1'!$E$2</f>
        <v>AGRGAS</v>
      </c>
      <c r="M6" s="145" t="str">
        <f>$C$2&amp;" "&amp;'EB1'!$E$3</f>
        <v>Agriculture Natural Gas</v>
      </c>
      <c r="N6" s="144" t="str">
        <f>$E$2</f>
        <v>PJ</v>
      </c>
      <c r="O6" s="144"/>
      <c r="P6" s="144"/>
      <c r="Q6" s="144"/>
      <c r="R6" s="144"/>
    </row>
    <row r="7" spans="2:18" x14ac:dyDescent="0.2">
      <c r="E7" s="11"/>
      <c r="F7" s="11"/>
      <c r="G7" s="71"/>
      <c r="H7" s="10"/>
      <c r="J7" s="144"/>
      <c r="K7" s="144"/>
      <c r="L7" s="144" t="str">
        <f>$B$2&amp;'EB1'!$F$2</f>
        <v>AGROIL</v>
      </c>
      <c r="M7" s="145" t="str">
        <f>$C$2&amp;" "&amp;RIGHT('EB1'!$F$3,3)</f>
        <v>Agriculture Oil</v>
      </c>
      <c r="N7" s="144" t="str">
        <f>$E$2</f>
        <v>PJ</v>
      </c>
      <c r="O7" s="144"/>
      <c r="P7" s="144"/>
      <c r="Q7" s="144"/>
      <c r="R7" s="144"/>
    </row>
    <row r="8" spans="2:18" x14ac:dyDescent="0.2">
      <c r="E8" s="11"/>
      <c r="F8" s="11"/>
      <c r="G8" s="71"/>
      <c r="H8" s="10"/>
      <c r="J8" s="144"/>
      <c r="K8" s="144"/>
      <c r="L8" s="144" t="str">
        <f>$B$2&amp;'EB1'!$O$2</f>
        <v>AGRBIO</v>
      </c>
      <c r="M8" s="145" t="str">
        <f>$C$2&amp;" "&amp;'EB1'!$O$3</f>
        <v>Agriculture Biomass</v>
      </c>
      <c r="N8" s="144" t="str">
        <f>$E$2</f>
        <v>PJ</v>
      </c>
      <c r="O8" s="144"/>
      <c r="P8" s="144"/>
      <c r="Q8" s="144"/>
      <c r="R8" s="144"/>
    </row>
    <row r="9" spans="2:18" x14ac:dyDescent="0.2">
      <c r="E9" s="11"/>
      <c r="F9" s="11"/>
      <c r="G9" s="71"/>
      <c r="H9" s="10"/>
      <c r="J9" s="144"/>
      <c r="K9" s="144"/>
      <c r="L9" s="144" t="str">
        <f>$B$2&amp;'EB1'!$U$2</f>
        <v>AGRELC</v>
      </c>
      <c r="M9" s="145" t="str">
        <f>$C$2&amp;" "&amp;'EB1'!$U$3</f>
        <v>Agriculture Electricity</v>
      </c>
      <c r="N9" s="144" t="str">
        <f>$E$2</f>
        <v>PJ</v>
      </c>
      <c r="O9" s="144"/>
      <c r="P9" s="144" t="s">
        <v>130</v>
      </c>
      <c r="Q9" s="144"/>
      <c r="R9" s="144" t="s">
        <v>50</v>
      </c>
    </row>
    <row r="10" spans="2:18" x14ac:dyDescent="0.2">
      <c r="E10" s="11"/>
      <c r="F10" s="11"/>
      <c r="G10" s="71"/>
      <c r="H10" s="10"/>
      <c r="M10" s="19"/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39" t="s">
        <v>15</v>
      </c>
      <c r="K12" s="139"/>
      <c r="L12" s="144"/>
      <c r="M12" s="144"/>
      <c r="N12" s="144"/>
      <c r="O12" s="144"/>
      <c r="P12" s="144"/>
      <c r="Q12" s="144"/>
      <c r="R12" s="144"/>
    </row>
    <row r="13" spans="2:18" x14ac:dyDescent="0.2">
      <c r="B13" s="17" t="s">
        <v>1</v>
      </c>
      <c r="C13" s="17" t="s">
        <v>5</v>
      </c>
      <c r="D13" s="17" t="s">
        <v>6</v>
      </c>
      <c r="E13" s="77" t="s">
        <v>152</v>
      </c>
      <c r="F13" s="74" t="s">
        <v>132</v>
      </c>
      <c r="G13" s="74" t="s">
        <v>84</v>
      </c>
      <c r="H13" s="74" t="s">
        <v>79</v>
      </c>
      <c r="J13" s="141" t="s">
        <v>11</v>
      </c>
      <c r="K13" s="142" t="s">
        <v>30</v>
      </c>
      <c r="L13" s="141" t="s">
        <v>1</v>
      </c>
      <c r="M13" s="141" t="s">
        <v>2</v>
      </c>
      <c r="N13" s="141" t="s">
        <v>16</v>
      </c>
      <c r="O13" s="141" t="s">
        <v>17</v>
      </c>
      <c r="P13" s="141" t="s">
        <v>18</v>
      </c>
      <c r="Q13" s="141" t="s">
        <v>19</v>
      </c>
      <c r="R13" s="141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177</v>
      </c>
      <c r="J14" s="143" t="s">
        <v>38</v>
      </c>
      <c r="K14" s="143" t="s">
        <v>31</v>
      </c>
      <c r="L14" s="143" t="s">
        <v>21</v>
      </c>
      <c r="M14" s="143" t="s">
        <v>22</v>
      </c>
      <c r="N14" s="143" t="s">
        <v>23</v>
      </c>
      <c r="O14" s="143" t="s">
        <v>24</v>
      </c>
      <c r="P14" s="143" t="s">
        <v>43</v>
      </c>
      <c r="Q14" s="143" t="s">
        <v>42</v>
      </c>
      <c r="R14" s="143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3" t="s">
        <v>81</v>
      </c>
      <c r="K15" s="146"/>
      <c r="L15" s="146"/>
      <c r="M15" s="146"/>
      <c r="N15" s="146"/>
      <c r="O15" s="146"/>
      <c r="P15" s="146"/>
      <c r="Q15" s="146"/>
      <c r="R15" s="146"/>
    </row>
    <row r="16" spans="2:18" x14ac:dyDescent="0.2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6">
        <v>1</v>
      </c>
      <c r="H16" s="67">
        <v>30</v>
      </c>
      <c r="J16" s="140" t="s">
        <v>115</v>
      </c>
      <c r="K16" s="144"/>
      <c r="L16" s="144" t="str">
        <f>"FT"&amp;$G$2&amp;"-"&amp;L5</f>
        <v>FTE-AGRCOA</v>
      </c>
      <c r="M16" s="145" t="str">
        <f>$D$2&amp;" Technology"&amp;" "&amp;$G$1&amp;" "&amp;M5</f>
        <v>Sector Fuel Technology Existing Agriculture Solid Fuels</v>
      </c>
      <c r="N16" s="144" t="str">
        <f>$E$2</f>
        <v>PJ</v>
      </c>
      <c r="O16" s="144" t="str">
        <f>$E$2&amp;"a"</f>
        <v>PJa</v>
      </c>
      <c r="P16" s="144"/>
      <c r="Q16" s="144"/>
      <c r="R16" s="144"/>
    </row>
    <row r="17" spans="2:18" x14ac:dyDescent="0.2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6">
        <v>1</v>
      </c>
      <c r="H17" s="67">
        <v>30</v>
      </c>
      <c r="J17" s="144"/>
      <c r="K17" s="144"/>
      <c r="L17" s="144" t="str">
        <f>"FT"&amp;$G$2&amp;"-"&amp;L6</f>
        <v>FTE-AGRGAS</v>
      </c>
      <c r="M17" s="145" t="str">
        <f>$D$2&amp;" Technology"&amp;" "&amp;$G$1&amp;" "&amp;M6</f>
        <v>Sector Fuel Technology Existing Agriculture Natural Gas</v>
      </c>
      <c r="N17" s="144" t="str">
        <f>$E$2</f>
        <v>PJ</v>
      </c>
      <c r="O17" s="144" t="str">
        <f>$E$2&amp;"a"</f>
        <v>PJa</v>
      </c>
      <c r="P17" s="144"/>
      <c r="Q17" s="144"/>
      <c r="R17" s="144"/>
    </row>
    <row r="18" spans="2:18" x14ac:dyDescent="0.2">
      <c r="B18" t="str">
        <f>L18</f>
        <v>FTE-AGROIL</v>
      </c>
      <c r="C18" t="str">
        <f>'EB1'!$G$2</f>
        <v>DSL</v>
      </c>
      <c r="D18" t="str">
        <f>L7</f>
        <v>AGROIL</v>
      </c>
      <c r="E18" s="130">
        <f>'EB1'!$G$8/SUM('EB1'!$G$8:$J$8,'EB1'!$L$8:$M$8)</f>
        <v>0.91949052637915552</v>
      </c>
      <c r="G18" s="66">
        <v>1</v>
      </c>
      <c r="H18" s="67">
        <v>30</v>
      </c>
      <c r="J18" s="144"/>
      <c r="K18" s="144"/>
      <c r="L18" s="144" t="str">
        <f>"FT"&amp;$G$2&amp;"-"&amp;L7</f>
        <v>FTE-AGROIL</v>
      </c>
      <c r="M18" s="145" t="str">
        <f>$D$2&amp;" Technology"&amp;" "&amp;$G$1&amp;" "&amp;M7</f>
        <v>Sector Fuel Technology Existing Agriculture Oil</v>
      </c>
      <c r="N18" s="144" t="str">
        <f>$E$2</f>
        <v>PJ</v>
      </c>
      <c r="O18" s="144" t="str">
        <f>$E$2&amp;"a"</f>
        <v>PJa</v>
      </c>
      <c r="P18" s="144"/>
      <c r="Q18" s="144"/>
      <c r="R18" s="144"/>
    </row>
    <row r="19" spans="2:18" x14ac:dyDescent="0.2">
      <c r="C19" t="str">
        <f>'EB1'!$H$2</f>
        <v>KER</v>
      </c>
      <c r="E19" s="130">
        <f>'EB1'!$H$8/SUM('EB1'!$G$8:$J$8,'EB1'!$L$8:$M$8)</f>
        <v>1.1863973151803673E-3</v>
      </c>
      <c r="G19" s="71"/>
      <c r="H19" s="10"/>
      <c r="J19" s="144"/>
      <c r="K19" s="144"/>
      <c r="L19" s="144" t="str">
        <f>"FT"&amp;$G$2&amp;"-"&amp;L8</f>
        <v>FTE-AGRBIO</v>
      </c>
      <c r="M19" s="145" t="str">
        <f>$D$2&amp;" Technology"&amp;" "&amp;$G$1&amp;" "&amp;M8</f>
        <v>Sector Fuel Technology Existing Agriculture Biomass</v>
      </c>
      <c r="N19" s="144" t="str">
        <f>$E$2</f>
        <v>PJ</v>
      </c>
      <c r="O19" s="144" t="str">
        <f>$E$2&amp;"a"</f>
        <v>PJa</v>
      </c>
      <c r="P19" s="144"/>
      <c r="Q19" s="144"/>
      <c r="R19" s="144"/>
    </row>
    <row r="20" spans="2:18" x14ac:dyDescent="0.2">
      <c r="C20" t="str">
        <f>'EB1'!$I$2</f>
        <v>LPG</v>
      </c>
      <c r="E20" s="130">
        <f>'EB1'!$I$8/SUM('EB1'!$G$8:$J$8,'EB1'!$L$8:$M$8)</f>
        <v>4.0555725558459536E-2</v>
      </c>
      <c r="G20" s="71"/>
      <c r="H20" s="10"/>
      <c r="J20" s="144"/>
      <c r="K20" s="144"/>
      <c r="L20" s="144" t="str">
        <f>"FT"&amp;$G$2&amp;"-"&amp;L9</f>
        <v>FTE-AGRELC</v>
      </c>
      <c r="M20" s="145" t="str">
        <f>$D$2&amp;" Technology"&amp;" "&amp;$G$1&amp;" "&amp;M9</f>
        <v>Sector Fuel Technology Existing Agriculture Electricity</v>
      </c>
      <c r="N20" s="144" t="str">
        <f>$E$2</f>
        <v>PJ</v>
      </c>
      <c r="O20" s="144" t="str">
        <f>$E$2&amp;"a"</f>
        <v>PJa</v>
      </c>
      <c r="P20" s="144" t="s">
        <v>130</v>
      </c>
      <c r="Q20" s="144"/>
      <c r="R20" s="144"/>
    </row>
    <row r="21" spans="2:18" x14ac:dyDescent="0.2">
      <c r="C21" t="str">
        <f>'EB1'!$J$2</f>
        <v>GSL</v>
      </c>
      <c r="E21" s="130">
        <f>'EB1'!$J$8/SUM('EB1'!$G$8:$J$8,'EB1'!$L$8:$M$8)</f>
        <v>4.3041390969334259E-3</v>
      </c>
      <c r="G21" s="71"/>
      <c r="H21" s="10"/>
      <c r="M21" s="19"/>
    </row>
    <row r="22" spans="2:18" x14ac:dyDescent="0.2">
      <c r="C22" t="str">
        <f>'EB1'!$L$2</f>
        <v>HFO</v>
      </c>
      <c r="E22" s="130">
        <f>'EB1'!$L$8/SUM('EB1'!$G$8:$J$8,'EB1'!$L$8:$M$8)</f>
        <v>3.4463211650271136E-2</v>
      </c>
      <c r="G22" s="71"/>
      <c r="H22" s="10"/>
      <c r="M22" s="19"/>
    </row>
    <row r="23" spans="2:18" x14ac:dyDescent="0.2">
      <c r="C23" t="str">
        <f>'EB1'!$M$2</f>
        <v>OPP</v>
      </c>
      <c r="E23" s="130">
        <f>'EB1'!$M$8/SUM('EB1'!$G$8:$J$8,'EB1'!$L$8:$M$8)</f>
        <v>0</v>
      </c>
      <c r="G23" s="71"/>
      <c r="H23" s="10"/>
      <c r="M23" s="19"/>
    </row>
    <row r="24" spans="2:18" x14ac:dyDescent="0.2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6">
        <v>1</v>
      </c>
      <c r="H24" s="67">
        <v>30</v>
      </c>
      <c r="J24" s="23"/>
      <c r="K24" s="23"/>
      <c r="M24" s="19"/>
    </row>
    <row r="25" spans="2:18" x14ac:dyDescent="0.2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G25" s="66">
        <v>1</v>
      </c>
      <c r="H25" s="67">
        <v>30</v>
      </c>
      <c r="J25" s="23"/>
      <c r="K25" s="23"/>
      <c r="M25" s="19"/>
    </row>
    <row r="26" spans="2:18" x14ac:dyDescent="0.2">
      <c r="E26" s="11"/>
      <c r="F26" s="11"/>
      <c r="G26" s="71"/>
      <c r="H26" s="10"/>
      <c r="J26" s="23"/>
      <c r="K26" s="23"/>
      <c r="M26" s="19"/>
    </row>
    <row r="27" spans="2:18" x14ac:dyDescent="0.2">
      <c r="E27" s="11"/>
      <c r="F27" s="11"/>
      <c r="G27" s="71"/>
      <c r="H27" s="10"/>
      <c r="M27" s="19"/>
    </row>
    <row r="28" spans="2:18" x14ac:dyDescent="0.2">
      <c r="E28" s="11"/>
      <c r="F28" s="11"/>
      <c r="G28" s="71"/>
      <c r="H28" s="10"/>
    </row>
    <row r="29" spans="2:18" x14ac:dyDescent="0.2">
      <c r="B29" s="23"/>
      <c r="D29" s="23"/>
      <c r="E29" s="11"/>
      <c r="F29" s="11"/>
      <c r="G29" s="71"/>
      <c r="H29" s="10"/>
    </row>
    <row r="30" spans="2:18" x14ac:dyDescent="0.2">
      <c r="B30" s="23"/>
      <c r="D30" s="23"/>
      <c r="E30" s="11"/>
      <c r="F30" s="11"/>
      <c r="G30" s="71"/>
      <c r="H30" s="10"/>
    </row>
    <row r="31" spans="2:18" x14ac:dyDescent="0.2">
      <c r="B31" s="23"/>
      <c r="D31" s="23"/>
      <c r="E31" s="100"/>
      <c r="F31" s="11"/>
      <c r="G31" s="71"/>
      <c r="H31" s="10"/>
    </row>
    <row r="32" spans="2:18" x14ac:dyDescent="0.2">
      <c r="B32" s="23"/>
      <c r="D32" s="23"/>
      <c r="E32" s="100"/>
      <c r="F32" s="11"/>
      <c r="G32" s="71"/>
      <c r="H32" s="10"/>
    </row>
    <row r="33" spans="2:8" x14ac:dyDescent="0.2">
      <c r="B33" s="23"/>
      <c r="D33" s="23"/>
      <c r="E33" s="100"/>
      <c r="F33" s="11"/>
      <c r="G33" s="71"/>
      <c r="H33" s="10"/>
    </row>
    <row r="34" spans="2:8" x14ac:dyDescent="0.2">
      <c r="B34" s="23"/>
      <c r="D34" s="23"/>
      <c r="E34" s="100"/>
      <c r="F34" s="11"/>
      <c r="G34" s="71"/>
      <c r="H34" s="10"/>
    </row>
    <row r="35" spans="2:8" x14ac:dyDescent="0.2">
      <c r="B35" s="23"/>
      <c r="D35" s="23"/>
      <c r="E35" s="11"/>
      <c r="F35" s="11"/>
      <c r="G35" s="71"/>
      <c r="H35" s="10"/>
    </row>
    <row r="36" spans="2:8" x14ac:dyDescent="0.2">
      <c r="B36" s="23"/>
      <c r="D36" s="23"/>
      <c r="E36" s="11"/>
      <c r="F36" s="11"/>
      <c r="G36" s="71"/>
      <c r="H36" s="10"/>
    </row>
    <row r="40" spans="2:8" x14ac:dyDescent="0.2">
      <c r="B40" s="41"/>
      <c r="C40" s="1" t="s">
        <v>156</v>
      </c>
    </row>
    <row r="41" spans="2:8" x14ac:dyDescent="0.2">
      <c r="B41" s="64"/>
      <c r="C41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9"/>
  <sheetViews>
    <sheetView zoomScaleNormal="100" workbookViewId="0">
      <selection activeCell="J12" sqref="J12"/>
    </sheetView>
  </sheetViews>
  <sheetFormatPr defaultRowHeight="12.75" x14ac:dyDescent="0.2"/>
  <cols>
    <col min="1" max="1" width="3" customWidth="1"/>
    <col min="2" max="2" width="12.140625" bestFit="1" customWidth="1"/>
    <col min="3" max="3" width="26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6.140625" bestFit="1" customWidth="1"/>
    <col min="8" max="8" width="13.140625" bestFit="1" customWidth="1"/>
    <col min="9" max="9" width="12.28515625" bestFit="1" customWidth="1"/>
    <col min="10" max="10" width="8.140625" customWidth="1"/>
    <col min="11" max="11" width="2" customWidth="1"/>
    <col min="12" max="12" width="12.7109375" bestFit="1" customWidth="1"/>
    <col min="13" max="13" width="7.140625" customWidth="1"/>
    <col min="14" max="14" width="16.140625" bestFit="1" customWidth="1"/>
    <col min="15" max="15" width="77.5703125" bestFit="1" customWidth="1"/>
    <col min="16" max="16" width="5.7109375" customWidth="1"/>
    <col min="17" max="17" width="11.7109375" customWidth="1"/>
    <col min="18" max="18" width="13.42578125" customWidth="1"/>
    <col min="19" max="19" width="13.85546875" customWidth="1"/>
    <col min="20" max="20" width="8.42578125" customWidth="1"/>
  </cols>
  <sheetData>
    <row r="1" spans="2:20" ht="15" x14ac:dyDescent="0.25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21"/>
      <c r="H1" s="7" t="s">
        <v>78</v>
      </c>
      <c r="I1" s="29"/>
      <c r="J1" s="7" t="s">
        <v>98</v>
      </c>
    </row>
    <row r="2" spans="2:20" ht="31.5" x14ac:dyDescent="0.25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146</v>
      </c>
      <c r="G2" s="9"/>
      <c r="H2" s="9" t="str">
        <f>'EB1'!Y2</f>
        <v>M€2005</v>
      </c>
      <c r="I2" s="8"/>
      <c r="J2" s="9" t="s">
        <v>99</v>
      </c>
      <c r="L2" s="139" t="s">
        <v>14</v>
      </c>
      <c r="M2" s="139"/>
      <c r="N2" s="140"/>
      <c r="O2" s="140"/>
      <c r="P2" s="140"/>
      <c r="Q2" s="140"/>
      <c r="R2" s="140"/>
      <c r="S2" s="140"/>
      <c r="T2" s="140"/>
    </row>
    <row r="3" spans="2:20" x14ac:dyDescent="0.2">
      <c r="L3" s="141" t="s">
        <v>7</v>
      </c>
      <c r="M3" s="142" t="s">
        <v>30</v>
      </c>
      <c r="N3" s="141" t="s">
        <v>0</v>
      </c>
      <c r="O3" s="141" t="s">
        <v>3</v>
      </c>
      <c r="P3" s="141" t="s">
        <v>4</v>
      </c>
      <c r="Q3" s="141" t="s">
        <v>8</v>
      </c>
      <c r="R3" s="141" t="s">
        <v>9</v>
      </c>
      <c r="S3" s="141" t="s">
        <v>10</v>
      </c>
      <c r="T3" s="141" t="s">
        <v>12</v>
      </c>
    </row>
    <row r="4" spans="2:20" ht="24" thickBot="1" x14ac:dyDescent="0.3">
      <c r="B4" s="8"/>
      <c r="C4" s="8"/>
      <c r="D4" s="8"/>
      <c r="E4" s="8"/>
      <c r="F4" s="8"/>
      <c r="G4" s="8"/>
      <c r="L4" s="143" t="s">
        <v>37</v>
      </c>
      <c r="M4" s="143" t="s">
        <v>31</v>
      </c>
      <c r="N4" s="143" t="s">
        <v>26</v>
      </c>
      <c r="O4" s="143" t="s">
        <v>27</v>
      </c>
      <c r="P4" s="143" t="s">
        <v>4</v>
      </c>
      <c r="Q4" s="143" t="s">
        <v>40</v>
      </c>
      <c r="R4" s="143" t="s">
        <v>41</v>
      </c>
      <c r="S4" s="143" t="s">
        <v>28</v>
      </c>
      <c r="T4" s="143" t="s">
        <v>29</v>
      </c>
    </row>
    <row r="5" spans="2:20" ht="15.75" x14ac:dyDescent="0.25">
      <c r="B5" s="8"/>
      <c r="C5" s="8"/>
      <c r="D5" s="8"/>
      <c r="E5" s="8"/>
      <c r="F5" s="8"/>
      <c r="G5" s="8"/>
      <c r="L5" s="140" t="s">
        <v>83</v>
      </c>
      <c r="M5" s="144"/>
      <c r="N5" s="140" t="str">
        <f>LEFT($L$5,1)&amp;LEFT($B$2,1)&amp;'EB1'!$C$20</f>
        <v>DAOT</v>
      </c>
      <c r="O5" s="140" t="str">
        <f>LEFT($D$2,6)&amp;" "&amp;$C$2&amp; " Sector - "&amp;'EB1'!$X$20</f>
        <v>Demand Agriculture Sector - Demand</v>
      </c>
      <c r="P5" s="140" t="str">
        <f>$E$2</f>
        <v>PJ</v>
      </c>
      <c r="Q5" s="140"/>
      <c r="R5" s="140"/>
      <c r="S5" s="140"/>
      <c r="T5" s="140"/>
    </row>
    <row r="6" spans="2:20" x14ac:dyDescent="0.2">
      <c r="L6" s="144" t="s">
        <v>108</v>
      </c>
      <c r="M6" s="144"/>
      <c r="N6" s="144" t="str">
        <f>$B$2&amp;'EB1'!$C$29</f>
        <v>AGRCO2</v>
      </c>
      <c r="O6" s="144" t="str">
        <f>$C$2&amp;" "&amp;'EB1'!$C$30</f>
        <v>Agriculture Carbon dioxide</v>
      </c>
      <c r="P6" s="144" t="str">
        <f>'EB1'!$AA$2</f>
        <v>kt</v>
      </c>
      <c r="Q6" s="144"/>
      <c r="R6" s="144"/>
      <c r="S6" s="144"/>
      <c r="T6" s="144"/>
    </row>
    <row r="7" spans="2:20" ht="15" x14ac:dyDescent="0.25">
      <c r="G7" s="134" t="s">
        <v>165</v>
      </c>
    </row>
    <row r="8" spans="2:20" ht="15" x14ac:dyDescent="0.25">
      <c r="D8" s="4" t="s">
        <v>13</v>
      </c>
      <c r="E8" s="4"/>
      <c r="G8" s="135">
        <v>0.2</v>
      </c>
      <c r="H8" s="4"/>
      <c r="I8" s="4"/>
      <c r="J8" s="13"/>
      <c r="L8" s="139" t="s">
        <v>15</v>
      </c>
      <c r="M8" s="139"/>
      <c r="N8" s="144"/>
      <c r="O8" s="144"/>
      <c r="P8" s="144"/>
      <c r="Q8" s="144"/>
      <c r="R8" s="144"/>
      <c r="S8" s="144"/>
      <c r="T8" s="144"/>
    </row>
    <row r="9" spans="2:20" ht="25.5" x14ac:dyDescent="0.2">
      <c r="B9" s="17" t="s">
        <v>1</v>
      </c>
      <c r="C9" s="17" t="s">
        <v>5</v>
      </c>
      <c r="D9" s="17" t="s">
        <v>6</v>
      </c>
      <c r="E9" s="74" t="s">
        <v>132</v>
      </c>
      <c r="F9" s="77" t="s">
        <v>152</v>
      </c>
      <c r="G9" s="77" t="s">
        <v>166</v>
      </c>
      <c r="H9" s="74" t="s">
        <v>84</v>
      </c>
      <c r="I9" s="74" t="s">
        <v>96</v>
      </c>
      <c r="J9" s="74" t="s">
        <v>79</v>
      </c>
      <c r="L9" s="141" t="s">
        <v>11</v>
      </c>
      <c r="M9" s="142" t="s">
        <v>30</v>
      </c>
      <c r="N9" s="141" t="s">
        <v>1</v>
      </c>
      <c r="O9" s="141" t="s">
        <v>2</v>
      </c>
      <c r="P9" s="141" t="s">
        <v>16</v>
      </c>
      <c r="Q9" s="141" t="s">
        <v>17</v>
      </c>
      <c r="R9" s="141" t="s">
        <v>18</v>
      </c>
      <c r="S9" s="141" t="s">
        <v>19</v>
      </c>
      <c r="T9" s="141" t="s">
        <v>20</v>
      </c>
    </row>
    <row r="10" spans="2:20" ht="23.25" thickBot="1" x14ac:dyDescent="0.25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151</v>
      </c>
      <c r="G10" s="15" t="s">
        <v>151</v>
      </c>
      <c r="H10" s="15" t="s">
        <v>89</v>
      </c>
      <c r="I10" s="86" t="s">
        <v>97</v>
      </c>
      <c r="J10" s="15" t="s">
        <v>177</v>
      </c>
      <c r="L10" s="143" t="s">
        <v>38</v>
      </c>
      <c r="M10" s="143" t="s">
        <v>31</v>
      </c>
      <c r="N10" s="143" t="s">
        <v>21</v>
      </c>
      <c r="O10" s="143" t="s">
        <v>22</v>
      </c>
      <c r="P10" s="143" t="s">
        <v>23</v>
      </c>
      <c r="Q10" s="143" t="s">
        <v>24</v>
      </c>
      <c r="R10" s="143" t="s">
        <v>43</v>
      </c>
      <c r="S10" s="143" t="s">
        <v>42</v>
      </c>
      <c r="T10" s="143" t="s">
        <v>25</v>
      </c>
    </row>
    <row r="11" spans="2:20" ht="13.5" thickBot="1" x14ac:dyDescent="0.25">
      <c r="B11" s="14" t="s">
        <v>90</v>
      </c>
      <c r="C11" s="14"/>
      <c r="D11" s="14"/>
      <c r="E11" s="12" t="s">
        <v>121</v>
      </c>
      <c r="F11" s="12"/>
      <c r="G11" s="12"/>
      <c r="H11" s="12"/>
      <c r="I11" s="76"/>
      <c r="J11" s="12" t="s">
        <v>91</v>
      </c>
      <c r="L11" s="143" t="s">
        <v>81</v>
      </c>
      <c r="M11" s="143"/>
      <c r="N11" s="143"/>
      <c r="O11" s="143"/>
      <c r="P11" s="143"/>
      <c r="Q11" s="143"/>
      <c r="R11" s="143"/>
      <c r="S11" s="143"/>
      <c r="T11" s="143"/>
    </row>
    <row r="12" spans="2:20" x14ac:dyDescent="0.2">
      <c r="B12" t="str">
        <f>N12</f>
        <v>AOTETOT</v>
      </c>
      <c r="C12" t="str">
        <f>Sector_Fuels_AGR!L5</f>
        <v>AGRCOA</v>
      </c>
      <c r="D12" t="str">
        <f>$N$5</f>
        <v>DAOT</v>
      </c>
      <c r="E12" s="6"/>
      <c r="F12" s="126">
        <f>'EB1'!$D$6/('EB1'!$D$6+'EB1'!$E$6+SUM('EB1'!$G$6:$J$6,'EB1'!$L$6:$M$6)+'EB1'!$O$6+'EB1'!$U$6)</f>
        <v>1.499365577046299E-2</v>
      </c>
      <c r="G12" s="133">
        <f>IF(F12=0,20%,F12*(1+$G$8))</f>
        <v>1.7992386924555587E-2</v>
      </c>
      <c r="H12" s="68">
        <v>1</v>
      </c>
      <c r="I12" s="68">
        <v>1</v>
      </c>
      <c r="J12" s="41">
        <v>20</v>
      </c>
      <c r="L12" s="140" t="s">
        <v>95</v>
      </c>
      <c r="M12" s="144"/>
      <c r="N12" s="144" t="str">
        <f>LEFT($B$2)&amp;'EB1'!$C$20&amp;$J$2&amp;'EB1'!$V$2</f>
        <v>AOTETOT</v>
      </c>
      <c r="O12" s="144" t="str">
        <f>$D$2&amp;" "&amp;$C$2&amp; " Sector - "&amp;""&amp;$J$1&amp;" "&amp;'EB1'!$X$20&amp;" - "&amp;'EB1'!$V$2</f>
        <v>Demand Technologies Agriculture Sector - Existing Demand - TOT</v>
      </c>
      <c r="P12" s="144" t="str">
        <f>$E$2</f>
        <v>PJ</v>
      </c>
      <c r="Q12" s="144" t="str">
        <f>$E$2&amp;"a"</f>
        <v>PJa</v>
      </c>
      <c r="R12" s="144"/>
      <c r="S12" s="144"/>
      <c r="T12" s="144"/>
    </row>
    <row r="13" spans="2:20" x14ac:dyDescent="0.2">
      <c r="C13" t="str">
        <f>Sector_Fuels_AGR!L6</f>
        <v>AGRGAS</v>
      </c>
      <c r="E13" s="6"/>
      <c r="F13" s="126">
        <f>'EB1'!$E$6/('EB1'!$D$6+'EB1'!$E$6+SUM('EB1'!$G$6:$J$6,'EB1'!$L$6:$M$6)+'EB1'!$O$6+'EB1'!$U$6)</f>
        <v>0.28393458732116494</v>
      </c>
      <c r="G13" s="133">
        <f>IF(F13=0,20%,F13*(1+$G$8))</f>
        <v>0.34072150478539792</v>
      </c>
      <c r="H13" s="16"/>
      <c r="I13" s="16"/>
    </row>
    <row r="14" spans="2:20" x14ac:dyDescent="0.2">
      <c r="C14" t="str">
        <f>Sector_Fuels_AGR!L7</f>
        <v>AGROIL</v>
      </c>
      <c r="E14" s="6"/>
      <c r="F14" s="126">
        <f>SUM('EB1'!$G$6:$J$6,'EB1'!$L$6:$M$6)/('EB1'!$D$6+'EB1'!$E$6+SUM('EB1'!$G$6:$J$6,'EB1'!$L$6:$M$6)+'EB1'!$O$6+'EB1'!$U$6)</f>
        <v>0.17319316089523287</v>
      </c>
      <c r="G14" s="133">
        <f>IF(F14=0,20%,F14*(1+$G$8))</f>
        <v>0.20783179307427943</v>
      </c>
      <c r="H14" s="16"/>
      <c r="I14" s="16"/>
      <c r="O14" s="19"/>
    </row>
    <row r="15" spans="2:20" x14ac:dyDescent="0.2">
      <c r="C15" t="str">
        <f>Sector_Fuels_AGR!L8</f>
        <v>AGRBIO</v>
      </c>
      <c r="E15" s="6"/>
      <c r="F15" s="126">
        <f>'EB1'!$O$6/('EB1'!$D$6+'EB1'!$E$6+SUM('EB1'!$G$6:$J$6,'EB1'!$L$6:$M$6)+'EB1'!$O$6+'EB1'!$U$6)</f>
        <v>1.5803589744888529E-2</v>
      </c>
      <c r="G15" s="133">
        <f>IF(F15=0,20%,F15*(1+$G$8))</f>
        <v>1.8964307693866235E-2</v>
      </c>
      <c r="H15" s="16"/>
      <c r="I15" s="16"/>
      <c r="O15" s="19"/>
    </row>
    <row r="16" spans="2:20" x14ac:dyDescent="0.2">
      <c r="C16" t="str">
        <f>Sector_Fuels_AGR!L9</f>
        <v>AGRELC</v>
      </c>
      <c r="E16" s="6"/>
      <c r="F16" s="126">
        <f>'EB1'!$U$6/('EB1'!$D$6+'EB1'!$E$6+SUM('EB1'!$G$6:$J$6,'EB1'!$L$6:$M$6)+'EB1'!$O$6+'EB1'!$U$6)</f>
        <v>0.51207500626825075</v>
      </c>
      <c r="G16" s="133">
        <f>IF(F16=0,20%,F16*(1+$G$8))</f>
        <v>0.61449000752190086</v>
      </c>
      <c r="H16" s="16"/>
      <c r="I16" s="16"/>
      <c r="O16" s="19"/>
    </row>
    <row r="17" spans="2:11" x14ac:dyDescent="0.2">
      <c r="F17" s="100"/>
      <c r="G17" s="100"/>
    </row>
    <row r="18" spans="2:11" x14ac:dyDescent="0.2">
      <c r="F18" s="121"/>
      <c r="G18" s="121"/>
    </row>
    <row r="21" spans="2:11" x14ac:dyDescent="0.2">
      <c r="H21" s="6"/>
    </row>
    <row r="24" spans="2:11" x14ac:dyDescent="0.2">
      <c r="B24" s="41"/>
      <c r="C24" s="1" t="s">
        <v>156</v>
      </c>
    </row>
    <row r="25" spans="2:11" x14ac:dyDescent="0.2">
      <c r="B25" s="64"/>
      <c r="C25" s="1" t="s">
        <v>157</v>
      </c>
    </row>
    <row r="26" spans="2:11" x14ac:dyDescent="0.2">
      <c r="F26" s="11"/>
      <c r="G26" s="11"/>
      <c r="K26" s="1"/>
    </row>
    <row r="27" spans="2:11" x14ac:dyDescent="0.2">
      <c r="F27" s="11"/>
      <c r="G27" s="11"/>
      <c r="K27" s="1"/>
    </row>
    <row r="28" spans="2:11" x14ac:dyDescent="0.2">
      <c r="F28" s="11"/>
      <c r="G28" s="11"/>
      <c r="K28" s="1"/>
    </row>
    <row r="29" spans="2:11" x14ac:dyDescent="0.2">
      <c r="K29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zoomScaleNormal="100" workbookViewId="0">
      <selection activeCell="H15" sqref="H15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75" x14ac:dyDescent="0.25">
      <c r="B2" s="9" t="str">
        <f>'EB1'!B6</f>
        <v>COM</v>
      </c>
      <c r="C2" s="9" t="str">
        <f>'EB1'!C6</f>
        <v>Commercial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2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4" thickBot="1" x14ac:dyDescent="0.3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2">
      <c r="E5" s="11"/>
      <c r="F5" s="11"/>
      <c r="G5" s="71"/>
      <c r="H5" s="10"/>
      <c r="J5" s="144" t="s">
        <v>72</v>
      </c>
      <c r="K5" s="144"/>
      <c r="L5" s="144" t="str">
        <f>$B$2&amp;'EB1'!$D$2</f>
        <v>COMCOA</v>
      </c>
      <c r="M5" s="145" t="str">
        <f>$C$2&amp;" "&amp;'EB1'!$D$3</f>
        <v>Commercial Solid Fuels</v>
      </c>
      <c r="N5" s="144" t="str">
        <f t="shared" ref="N5:N10" si="0">$E$2</f>
        <v>PJ</v>
      </c>
      <c r="O5" s="144"/>
      <c r="P5" s="144"/>
      <c r="Q5" s="144"/>
      <c r="R5" s="144"/>
    </row>
    <row r="6" spans="2:18" x14ac:dyDescent="0.2">
      <c r="E6" s="11"/>
      <c r="F6" s="11"/>
      <c r="G6" s="71"/>
      <c r="H6" s="10"/>
      <c r="J6" s="144"/>
      <c r="K6" s="144"/>
      <c r="L6" s="144" t="str">
        <f>$B$2&amp;'EB1'!$E$2</f>
        <v>COMGAS</v>
      </c>
      <c r="M6" s="145" t="str">
        <f>$C$2&amp;" "&amp;'EB1'!$E$3</f>
        <v>Commercial Natural Gas</v>
      </c>
      <c r="N6" s="144" t="str">
        <f t="shared" si="0"/>
        <v>PJ</v>
      </c>
      <c r="O6" s="144"/>
      <c r="P6" s="144"/>
      <c r="Q6" s="144"/>
      <c r="R6" s="144"/>
    </row>
    <row r="7" spans="2:18" x14ac:dyDescent="0.2">
      <c r="E7" s="11"/>
      <c r="F7" s="11"/>
      <c r="G7" s="71"/>
      <c r="H7" s="10"/>
      <c r="J7" s="144"/>
      <c r="K7" s="144"/>
      <c r="L7" s="144" t="str">
        <f>$B$2&amp;'EB1'!$F$2</f>
        <v>COMOIL</v>
      </c>
      <c r="M7" s="145" t="str">
        <f>$C$2&amp;" "&amp;RIGHT('EB1'!$F$3,3)</f>
        <v>Commercial Oil</v>
      </c>
      <c r="N7" s="144" t="str">
        <f t="shared" si="0"/>
        <v>PJ</v>
      </c>
      <c r="O7" s="144"/>
      <c r="P7" s="144"/>
      <c r="Q7" s="144"/>
      <c r="R7" s="144"/>
    </row>
    <row r="8" spans="2:18" x14ac:dyDescent="0.2">
      <c r="E8" s="11"/>
      <c r="F8" s="11"/>
      <c r="G8" s="71"/>
      <c r="H8" s="10"/>
      <c r="J8" s="144"/>
      <c r="K8" s="144"/>
      <c r="L8" s="144" t="str">
        <f>$B$2&amp;'EB1'!$O$2</f>
        <v>COMBIO</v>
      </c>
      <c r="M8" s="145" t="str">
        <f>$C$2&amp;" "&amp;'EB1'!$O$3</f>
        <v>Commercial Biomass</v>
      </c>
      <c r="N8" s="144" t="str">
        <f t="shared" si="0"/>
        <v>PJ</v>
      </c>
      <c r="O8" s="144"/>
      <c r="P8" s="144"/>
      <c r="Q8" s="144"/>
      <c r="R8" s="144"/>
    </row>
    <row r="9" spans="2:18" x14ac:dyDescent="0.2">
      <c r="E9" s="11"/>
      <c r="F9" s="11"/>
      <c r="G9" s="71"/>
      <c r="H9" s="10"/>
      <c r="J9" s="144"/>
      <c r="K9" s="144"/>
      <c r="L9" s="144" t="str">
        <f>$B$2&amp;'EB1'!$R$2</f>
        <v>COMSOL</v>
      </c>
      <c r="M9" s="145" t="str">
        <f>$C$2&amp;" "&amp;'EB1'!$R$3</f>
        <v>Commercial Solar energy</v>
      </c>
      <c r="N9" s="144" t="str">
        <f t="shared" si="0"/>
        <v>PJ</v>
      </c>
      <c r="O9" s="144"/>
      <c r="P9" s="144"/>
      <c r="Q9" s="144"/>
      <c r="R9" s="144"/>
    </row>
    <row r="10" spans="2:18" x14ac:dyDescent="0.2">
      <c r="E10" s="11"/>
      <c r="F10" s="11"/>
      <c r="G10" s="71"/>
      <c r="H10" s="10"/>
      <c r="J10" s="144"/>
      <c r="K10" s="144"/>
      <c r="L10" s="144" t="str">
        <f>$B$2&amp;'EB1'!$U$2</f>
        <v>COMELC</v>
      </c>
      <c r="M10" s="145" t="str">
        <f>$C$2&amp;" "&amp;'EB1'!$U$3</f>
        <v>Commercial Electricity</v>
      </c>
      <c r="N10" s="144" t="str">
        <f t="shared" si="0"/>
        <v>PJ</v>
      </c>
      <c r="O10" s="144"/>
      <c r="P10" s="144" t="s">
        <v>130</v>
      </c>
      <c r="Q10" s="144"/>
      <c r="R10" s="144" t="s">
        <v>50</v>
      </c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39" t="s">
        <v>15</v>
      </c>
      <c r="K12" s="139"/>
      <c r="L12" s="144"/>
      <c r="M12" s="144"/>
      <c r="N12" s="144"/>
      <c r="O12" s="144"/>
      <c r="P12" s="144"/>
      <c r="Q12" s="144"/>
      <c r="R12" s="144"/>
    </row>
    <row r="13" spans="2:18" x14ac:dyDescent="0.2">
      <c r="B13" s="17" t="s">
        <v>1</v>
      </c>
      <c r="C13" s="17" t="s">
        <v>5</v>
      </c>
      <c r="D13" s="17" t="s">
        <v>6</v>
      </c>
      <c r="E13" s="77" t="s">
        <v>152</v>
      </c>
      <c r="F13" s="74" t="s">
        <v>132</v>
      </c>
      <c r="G13" s="74" t="s">
        <v>84</v>
      </c>
      <c r="H13" s="74" t="s">
        <v>79</v>
      </c>
      <c r="J13" s="141" t="s">
        <v>11</v>
      </c>
      <c r="K13" s="142" t="s">
        <v>30</v>
      </c>
      <c r="L13" s="141" t="s">
        <v>1</v>
      </c>
      <c r="M13" s="141" t="s">
        <v>2</v>
      </c>
      <c r="N13" s="141" t="s">
        <v>16</v>
      </c>
      <c r="O13" s="141" t="s">
        <v>17</v>
      </c>
      <c r="P13" s="141" t="s">
        <v>18</v>
      </c>
      <c r="Q13" s="141" t="s">
        <v>19</v>
      </c>
      <c r="R13" s="141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177</v>
      </c>
      <c r="J14" s="143" t="s">
        <v>38</v>
      </c>
      <c r="K14" s="143" t="s">
        <v>31</v>
      </c>
      <c r="L14" s="143" t="s">
        <v>21</v>
      </c>
      <c r="M14" s="143" t="s">
        <v>22</v>
      </c>
      <c r="N14" s="143" t="s">
        <v>23</v>
      </c>
      <c r="O14" s="143" t="s">
        <v>24</v>
      </c>
      <c r="P14" s="143" t="s">
        <v>43</v>
      </c>
      <c r="Q14" s="143" t="s">
        <v>42</v>
      </c>
      <c r="R14" s="143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3" t="s">
        <v>81</v>
      </c>
      <c r="K15" s="146"/>
      <c r="L15" s="146"/>
      <c r="M15" s="146"/>
      <c r="N15" s="146"/>
      <c r="O15" s="146"/>
      <c r="P15" s="146"/>
      <c r="Q15" s="146"/>
      <c r="R15" s="146"/>
    </row>
    <row r="16" spans="2:18" x14ac:dyDescent="0.2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6">
        <v>1</v>
      </c>
      <c r="H16" s="67">
        <v>30</v>
      </c>
      <c r="J16" s="140" t="s">
        <v>115</v>
      </c>
      <c r="K16" s="144"/>
      <c r="L16" s="144" t="str">
        <f t="shared" ref="L16:L21" si="1">"FT"&amp;$G$2&amp;"-"&amp;L5</f>
        <v>FTE-COMCOA</v>
      </c>
      <c r="M16" s="145" t="str">
        <f t="shared" ref="M16:M21" si="2">$D$2&amp;" Technology"&amp;" "&amp;$G$1&amp;" "&amp;M5</f>
        <v>Sector Fuel Technology Existing Commercial Solid Fuels</v>
      </c>
      <c r="N16" s="144" t="str">
        <f t="shared" ref="N16:N21" si="3">$E$2</f>
        <v>PJ</v>
      </c>
      <c r="O16" s="144" t="str">
        <f t="shared" ref="O16:O21" si="4">$E$2&amp;"a"</f>
        <v>PJa</v>
      </c>
      <c r="P16" s="144"/>
      <c r="Q16" s="144"/>
      <c r="R16" s="144"/>
    </row>
    <row r="17" spans="2:18" x14ac:dyDescent="0.2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6">
        <v>1</v>
      </c>
      <c r="H17" s="67">
        <v>30</v>
      </c>
      <c r="J17" s="144"/>
      <c r="K17" s="144"/>
      <c r="L17" s="144" t="str">
        <f t="shared" si="1"/>
        <v>FTE-COMGAS</v>
      </c>
      <c r="M17" s="145" t="str">
        <f t="shared" si="2"/>
        <v>Sector Fuel Technology Existing Commercial Natural Gas</v>
      </c>
      <c r="N17" s="144" t="str">
        <f t="shared" si="3"/>
        <v>PJ</v>
      </c>
      <c r="O17" s="144" t="str">
        <f t="shared" si="4"/>
        <v>PJa</v>
      </c>
      <c r="P17" s="144"/>
      <c r="Q17" s="144"/>
      <c r="R17" s="144"/>
    </row>
    <row r="18" spans="2:18" x14ac:dyDescent="0.2">
      <c r="B18" t="str">
        <f>L18</f>
        <v>FTE-COMOIL</v>
      </c>
      <c r="C18" t="str">
        <f>'EB1'!$G$2</f>
        <v>DSL</v>
      </c>
      <c r="D18" t="str">
        <f>L7</f>
        <v>COMOIL</v>
      </c>
      <c r="E18" s="126">
        <f>'EB1'!$G$6/SUM('EB1'!$G$6:$J$6,'EB1'!$L$6:$M$6)</f>
        <v>0.86298475684655063</v>
      </c>
      <c r="F18" s="11"/>
      <c r="G18" s="66">
        <v>1</v>
      </c>
      <c r="H18" s="67">
        <v>30</v>
      </c>
      <c r="J18" s="144"/>
      <c r="K18" s="144"/>
      <c r="L18" s="144" t="str">
        <f t="shared" si="1"/>
        <v>FTE-COMOIL</v>
      </c>
      <c r="M18" s="145" t="str">
        <f t="shared" si="2"/>
        <v>Sector Fuel Technology Existing Commercial Oil</v>
      </c>
      <c r="N18" s="144" t="str">
        <f t="shared" si="3"/>
        <v>PJ</v>
      </c>
      <c r="O18" s="144" t="str">
        <f t="shared" si="4"/>
        <v>PJa</v>
      </c>
      <c r="P18" s="144"/>
      <c r="Q18" s="144"/>
      <c r="R18" s="144"/>
    </row>
    <row r="19" spans="2:18" x14ac:dyDescent="0.2">
      <c r="C19" t="str">
        <f>'EB1'!$H$2</f>
        <v>KER</v>
      </c>
      <c r="E19" s="126">
        <f>'EB1'!$H$6/SUM('EB1'!$G$6:$J$6,'EB1'!$L$6:$M$6)</f>
        <v>3.9236789461985699E-3</v>
      </c>
      <c r="F19" s="11"/>
      <c r="G19" s="71"/>
      <c r="H19" s="10"/>
      <c r="J19" s="144"/>
      <c r="K19" s="144"/>
      <c r="L19" s="144" t="str">
        <f t="shared" si="1"/>
        <v>FTE-COMBIO</v>
      </c>
      <c r="M19" s="145" t="str">
        <f t="shared" si="2"/>
        <v>Sector Fuel Technology Existing Commercial Biomass</v>
      </c>
      <c r="N19" s="144" t="str">
        <f t="shared" si="3"/>
        <v>PJ</v>
      </c>
      <c r="O19" s="144" t="str">
        <f t="shared" si="4"/>
        <v>PJa</v>
      </c>
      <c r="P19" s="144"/>
      <c r="Q19" s="144"/>
      <c r="R19" s="144"/>
    </row>
    <row r="20" spans="2:18" x14ac:dyDescent="0.2">
      <c r="C20" t="str">
        <f>'EB1'!$I$2</f>
        <v>LPG</v>
      </c>
      <c r="E20" s="126">
        <f>'EB1'!$I$6/SUM('EB1'!$G$6:$J$6,'EB1'!$L$6:$M$6)</f>
        <v>7.3939237959312593E-2</v>
      </c>
      <c r="F20" s="11"/>
      <c r="G20" s="71"/>
      <c r="H20" s="10"/>
      <c r="J20" s="144"/>
      <c r="K20" s="144"/>
      <c r="L20" s="144" t="str">
        <f t="shared" si="1"/>
        <v>FTE-COMSOL</v>
      </c>
      <c r="M20" s="145" t="str">
        <f t="shared" si="2"/>
        <v>Sector Fuel Technology Existing Commercial Solar energy</v>
      </c>
      <c r="N20" s="144" t="str">
        <f t="shared" si="3"/>
        <v>PJ</v>
      </c>
      <c r="O20" s="144" t="str">
        <f t="shared" si="4"/>
        <v>PJa</v>
      </c>
      <c r="P20" s="144"/>
      <c r="Q20" s="144"/>
      <c r="R20" s="144"/>
    </row>
    <row r="21" spans="2:18" x14ac:dyDescent="0.2">
      <c r="C21" t="str">
        <f>'EB1'!$J$2</f>
        <v>GSL</v>
      </c>
      <c r="E21" s="126">
        <f>'EB1'!$J$6/SUM('EB1'!$G$6:$J$6,'EB1'!$L$6:$M$6)</f>
        <v>1.3383090979281944E-2</v>
      </c>
      <c r="F21" s="11"/>
      <c r="G21" s="71"/>
      <c r="H21" s="10"/>
      <c r="J21" s="144"/>
      <c r="K21" s="144"/>
      <c r="L21" s="144" t="str">
        <f t="shared" si="1"/>
        <v>FTE-COMELC</v>
      </c>
      <c r="M21" s="145" t="str">
        <f t="shared" si="2"/>
        <v>Sector Fuel Technology Existing Commercial Electricity</v>
      </c>
      <c r="N21" s="144" t="str">
        <f t="shared" si="3"/>
        <v>PJ</v>
      </c>
      <c r="O21" s="144" t="str">
        <f t="shared" si="4"/>
        <v>PJa</v>
      </c>
      <c r="P21" s="144" t="s">
        <v>130</v>
      </c>
      <c r="Q21" s="144"/>
      <c r="R21" s="144"/>
    </row>
    <row r="22" spans="2:18" x14ac:dyDescent="0.2">
      <c r="C22" t="str">
        <f>'EB1'!$L$2</f>
        <v>HFO</v>
      </c>
      <c r="E22" s="126">
        <f>'EB1'!$L$6/SUM('EB1'!$G$6:$J$6,'EB1'!$L$6:$M$6)</f>
        <v>4.5203027573378879E-2</v>
      </c>
      <c r="F22" s="11"/>
      <c r="G22" s="71"/>
      <c r="H22" s="10"/>
      <c r="M22" s="19"/>
    </row>
    <row r="23" spans="2:18" x14ac:dyDescent="0.2">
      <c r="C23" t="str">
        <f>'EB1'!$M$2</f>
        <v>OPP</v>
      </c>
      <c r="E23" s="126">
        <f>'EB1'!$M$6/SUM('EB1'!$G$6:$J$6,'EB1'!$L$6:$M$6)</f>
        <v>5.6620769527731304E-4</v>
      </c>
      <c r="F23" s="11"/>
      <c r="G23" s="71"/>
      <c r="H23" s="10"/>
      <c r="M23" s="19"/>
    </row>
    <row r="24" spans="2:18" x14ac:dyDescent="0.2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6">
        <v>1</v>
      </c>
      <c r="H24" s="67">
        <v>30</v>
      </c>
      <c r="J24" s="23"/>
      <c r="K24" s="23"/>
      <c r="M24" s="19"/>
    </row>
    <row r="25" spans="2:18" x14ac:dyDescent="0.2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6">
        <v>1</v>
      </c>
      <c r="H25" s="67">
        <v>30</v>
      </c>
      <c r="J25" s="23"/>
      <c r="K25" s="23"/>
      <c r="M25" s="19"/>
    </row>
    <row r="26" spans="2:18" x14ac:dyDescent="0.2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27"/>
      <c r="F26" s="127"/>
      <c r="G26" s="128">
        <v>1</v>
      </c>
      <c r="H26" s="129">
        <v>30</v>
      </c>
      <c r="J26" s="23"/>
      <c r="K26" s="23"/>
      <c r="M26" s="19"/>
    </row>
    <row r="27" spans="2:18" x14ac:dyDescent="0.2">
      <c r="E27" s="11"/>
      <c r="F27" s="11"/>
      <c r="G27" s="71"/>
      <c r="H27" s="10"/>
      <c r="J27" s="23"/>
      <c r="K27" s="23"/>
      <c r="M27" s="19"/>
    </row>
    <row r="28" spans="2:18" x14ac:dyDescent="0.2">
      <c r="E28" s="11"/>
      <c r="F28" s="11"/>
      <c r="G28" s="71"/>
      <c r="H28" s="10"/>
      <c r="M28" s="19"/>
    </row>
    <row r="29" spans="2:18" x14ac:dyDescent="0.2">
      <c r="E29" s="11"/>
      <c r="F29" s="11"/>
      <c r="G29" s="71"/>
      <c r="H29" s="10"/>
    </row>
    <row r="30" spans="2:18" x14ac:dyDescent="0.2">
      <c r="B30" s="23"/>
      <c r="D30" s="23"/>
      <c r="E30" s="11"/>
      <c r="F30" s="11"/>
      <c r="G30" s="71"/>
      <c r="H30" s="10"/>
    </row>
    <row r="31" spans="2:18" x14ac:dyDescent="0.2">
      <c r="B31" s="23"/>
      <c r="D31" s="23"/>
      <c r="E31" s="11"/>
      <c r="F31" s="11"/>
      <c r="G31" s="71"/>
      <c r="H31" s="10"/>
    </row>
    <row r="32" spans="2:18" x14ac:dyDescent="0.2">
      <c r="B32" s="23"/>
      <c r="D32" s="23"/>
      <c r="E32" s="100"/>
      <c r="F32" s="11"/>
      <c r="G32" s="71"/>
      <c r="H32" s="10"/>
    </row>
    <row r="33" spans="2:8" x14ac:dyDescent="0.2">
      <c r="B33" s="23"/>
      <c r="D33" s="23"/>
      <c r="E33" s="100"/>
      <c r="F33" s="11"/>
      <c r="G33" s="71"/>
      <c r="H33" s="10"/>
    </row>
    <row r="34" spans="2:8" x14ac:dyDescent="0.2">
      <c r="B34" s="23"/>
      <c r="D34" s="23"/>
      <c r="E34" s="100"/>
      <c r="F34" s="11"/>
      <c r="G34" s="71"/>
      <c r="H34" s="10"/>
    </row>
    <row r="35" spans="2:8" x14ac:dyDescent="0.2">
      <c r="B35" s="23"/>
      <c r="D35" s="23"/>
      <c r="E35" s="100"/>
      <c r="F35" s="11"/>
      <c r="G35" s="71"/>
      <c r="H35" s="10"/>
    </row>
    <row r="36" spans="2:8" x14ac:dyDescent="0.2">
      <c r="B36" s="23"/>
      <c r="D36" s="23"/>
      <c r="E36" s="11"/>
      <c r="F36" s="11"/>
      <c r="G36" s="71"/>
      <c r="H36" s="10"/>
    </row>
    <row r="37" spans="2:8" x14ac:dyDescent="0.2">
      <c r="B37" s="23"/>
      <c r="D37" s="23"/>
      <c r="E37" s="11"/>
      <c r="F37" s="11"/>
      <c r="G37" s="71"/>
      <c r="H37" s="10"/>
    </row>
    <row r="41" spans="2:8" x14ac:dyDescent="0.2">
      <c r="B41" s="41"/>
      <c r="C41" s="1" t="s">
        <v>156</v>
      </c>
    </row>
    <row r="42" spans="2:8" x14ac:dyDescent="0.2">
      <c r="B42" s="64"/>
      <c r="C42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42"/>
  <sheetViews>
    <sheetView zoomScaleNormal="100" workbookViewId="0">
      <selection activeCell="I26" sqref="I26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7" t="s">
        <v>78</v>
      </c>
      <c r="I1" s="7" t="s">
        <v>98</v>
      </c>
    </row>
    <row r="2" spans="2:21" ht="31.5" x14ac:dyDescent="0.25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164</v>
      </c>
      <c r="G2" s="9" t="str">
        <f>'EB1'!Y2</f>
        <v>M€2005</v>
      </c>
      <c r="I2" s="9" t="s">
        <v>99</v>
      </c>
      <c r="M2" s="139" t="s">
        <v>14</v>
      </c>
      <c r="N2" s="139"/>
      <c r="O2" s="140"/>
      <c r="P2" s="140"/>
      <c r="Q2" s="140"/>
      <c r="R2" s="140"/>
      <c r="S2" s="140"/>
      <c r="T2" s="140"/>
      <c r="U2" s="140"/>
    </row>
    <row r="3" spans="2:21" x14ac:dyDescent="0.2">
      <c r="M3" s="141" t="s">
        <v>7</v>
      </c>
      <c r="N3" s="142" t="s">
        <v>30</v>
      </c>
      <c r="O3" s="141" t="s">
        <v>0</v>
      </c>
      <c r="P3" s="141" t="s">
        <v>3</v>
      </c>
      <c r="Q3" s="141" t="s">
        <v>4</v>
      </c>
      <c r="R3" s="141" t="s">
        <v>8</v>
      </c>
      <c r="S3" s="141" t="s">
        <v>9</v>
      </c>
      <c r="T3" s="141" t="s">
        <v>10</v>
      </c>
      <c r="U3" s="141" t="s">
        <v>12</v>
      </c>
    </row>
    <row r="4" spans="2:21" ht="24" thickBot="1" x14ac:dyDescent="0.3">
      <c r="B4" s="8"/>
      <c r="C4" s="8"/>
      <c r="D4" s="8"/>
      <c r="E4" s="8"/>
      <c r="F4" s="8"/>
      <c r="M4" s="143" t="s">
        <v>37</v>
      </c>
      <c r="N4" s="143" t="s">
        <v>31</v>
      </c>
      <c r="O4" s="143" t="s">
        <v>26</v>
      </c>
      <c r="P4" s="143" t="s">
        <v>27</v>
      </c>
      <c r="Q4" s="143" t="s">
        <v>4</v>
      </c>
      <c r="R4" s="143" t="s">
        <v>40</v>
      </c>
      <c r="S4" s="143" t="s">
        <v>41</v>
      </c>
      <c r="T4" s="143" t="s">
        <v>28</v>
      </c>
      <c r="U4" s="143" t="s">
        <v>29</v>
      </c>
    </row>
    <row r="5" spans="2:21" ht="15.75" x14ac:dyDescent="0.25">
      <c r="B5" s="8"/>
      <c r="C5" s="8"/>
      <c r="D5" s="8"/>
      <c r="E5" s="8"/>
      <c r="F5" s="8"/>
      <c r="M5" s="140" t="s">
        <v>83</v>
      </c>
      <c r="N5" s="144"/>
      <c r="O5" s="140" t="str">
        <f>LEFT($M$5,1)&amp;LEFT($B$2,1)&amp;'EB1'!$C$24</f>
        <v>DCSH</v>
      </c>
      <c r="P5" s="140" t="str">
        <f>LEFT($D$2,6)&amp;" "&amp;$C$2&amp; " Sector - "&amp;'EB1'!$X$24</f>
        <v>Demand Commercial Sector - Space Heating</v>
      </c>
      <c r="Q5" s="140" t="str">
        <f>$E$2</f>
        <v>PJ</v>
      </c>
      <c r="R5" s="140"/>
      <c r="S5" s="140"/>
      <c r="T5" s="140"/>
      <c r="U5" s="140"/>
    </row>
    <row r="6" spans="2:21" ht="15.75" x14ac:dyDescent="0.25">
      <c r="B6" s="8"/>
      <c r="C6" s="8"/>
      <c r="D6" s="8"/>
      <c r="E6" s="8"/>
      <c r="F6" s="8"/>
      <c r="M6" s="140"/>
      <c r="N6" s="144"/>
      <c r="O6" s="140" t="str">
        <f>LEFT($M$5,1)&amp;LEFT($B$2,1)&amp;'EB1'!$C$25</f>
        <v>DCAP</v>
      </c>
      <c r="P6" s="140" t="str">
        <f>LEFT($D$2,6)&amp;" "&amp;$C$2&amp; " Sector - "&amp;'EB1'!$X$25</f>
        <v>Demand Commercial Sector - Appliancens</v>
      </c>
      <c r="Q6" s="140" t="str">
        <f>$E$2</f>
        <v>PJ</v>
      </c>
      <c r="R6" s="140"/>
      <c r="S6" s="140"/>
      <c r="T6" s="140"/>
      <c r="U6" s="140"/>
    </row>
    <row r="7" spans="2:21" ht="15.75" x14ac:dyDescent="0.25">
      <c r="B7" s="8"/>
      <c r="C7" s="8"/>
      <c r="D7" s="8"/>
      <c r="E7" s="8"/>
      <c r="F7" s="8"/>
      <c r="M7" s="140"/>
      <c r="N7" s="144"/>
      <c r="O7" s="140" t="str">
        <f>LEFT($M$5,1)&amp;LEFT($B$2,1)&amp;'EB1'!$C$26</f>
        <v>DCOT</v>
      </c>
      <c r="P7" s="140" t="str">
        <f>LEFT($D$2,6)&amp;" "&amp;$C$2&amp; " Sector - "&amp;'EB1'!$X$26</f>
        <v>Demand Commercial Sector - Other</v>
      </c>
      <c r="Q7" s="140" t="str">
        <f>$E$2</f>
        <v>PJ</v>
      </c>
      <c r="R7" s="140"/>
      <c r="S7" s="140"/>
      <c r="T7" s="140"/>
      <c r="U7" s="140"/>
    </row>
    <row r="8" spans="2:21" x14ac:dyDescent="0.2">
      <c r="M8" s="144" t="s">
        <v>108</v>
      </c>
      <c r="N8" s="144"/>
      <c r="O8" s="144" t="str">
        <f>$B$2&amp;'EB1'!$C$29</f>
        <v>COMCO2</v>
      </c>
      <c r="P8" s="144" t="str">
        <f>$C$2&amp;" "&amp;'EB1'!$C$30</f>
        <v>Commercial Carbon dioxide</v>
      </c>
      <c r="Q8" s="144" t="str">
        <f>'EB1'!$AA$2</f>
        <v>kt</v>
      </c>
      <c r="R8" s="144"/>
      <c r="S8" s="144"/>
      <c r="T8" s="144"/>
      <c r="U8" s="144"/>
    </row>
    <row r="10" spans="2:21" x14ac:dyDescent="0.2">
      <c r="D10" s="4" t="s">
        <v>13</v>
      </c>
      <c r="E10" s="4"/>
      <c r="G10" s="4"/>
      <c r="H10" s="4"/>
      <c r="I10" s="13"/>
      <c r="M10" s="139" t="s">
        <v>15</v>
      </c>
      <c r="N10" s="139"/>
      <c r="O10" s="144"/>
      <c r="P10" s="144"/>
      <c r="Q10" s="144"/>
      <c r="R10" s="144"/>
      <c r="S10" s="144"/>
      <c r="T10" s="144"/>
      <c r="U10" s="144"/>
    </row>
    <row r="11" spans="2:21" x14ac:dyDescent="0.2">
      <c r="B11" s="17" t="s">
        <v>1</v>
      </c>
      <c r="C11" s="17" t="s">
        <v>5</v>
      </c>
      <c r="D11" s="17" t="s">
        <v>6</v>
      </c>
      <c r="E11" s="74" t="s">
        <v>132</v>
      </c>
      <c r="F11" s="74" t="s">
        <v>84</v>
      </c>
      <c r="G11" s="74" t="s">
        <v>96</v>
      </c>
      <c r="H11" s="74" t="s">
        <v>178</v>
      </c>
      <c r="I11" s="74" t="s">
        <v>79</v>
      </c>
      <c r="K11" s="99" t="s">
        <v>35</v>
      </c>
      <c r="L11" s="110"/>
      <c r="M11" s="141" t="s">
        <v>11</v>
      </c>
      <c r="N11" s="142" t="s">
        <v>30</v>
      </c>
      <c r="O11" s="141" t="s">
        <v>1</v>
      </c>
      <c r="P11" s="141" t="s">
        <v>2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41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6" t="s">
        <v>97</v>
      </c>
      <c r="H12" s="15" t="s">
        <v>123</v>
      </c>
      <c r="I12" s="15" t="s">
        <v>177</v>
      </c>
      <c r="K12" s="99" t="s">
        <v>161</v>
      </c>
      <c r="L12" s="34"/>
      <c r="M12" s="143" t="s">
        <v>38</v>
      </c>
      <c r="N12" s="143" t="s">
        <v>31</v>
      </c>
      <c r="O12" s="143" t="s">
        <v>21</v>
      </c>
      <c r="P12" s="143" t="s">
        <v>22</v>
      </c>
      <c r="Q12" s="143" t="s">
        <v>23</v>
      </c>
      <c r="R12" s="143" t="s">
        <v>24</v>
      </c>
      <c r="S12" s="143" t="s">
        <v>43</v>
      </c>
      <c r="T12" s="143" t="s">
        <v>42</v>
      </c>
      <c r="U12" s="143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121</v>
      </c>
      <c r="F13" s="12"/>
      <c r="G13" s="76"/>
      <c r="H13" s="12" t="s">
        <v>163</v>
      </c>
      <c r="I13" s="12" t="s">
        <v>91</v>
      </c>
      <c r="K13" s="12"/>
      <c r="M13" s="143" t="s">
        <v>81</v>
      </c>
      <c r="N13" s="143"/>
      <c r="O13" s="143"/>
      <c r="P13" s="143"/>
      <c r="Q13" s="143"/>
      <c r="R13" s="143"/>
      <c r="S13" s="143"/>
      <c r="T13" s="143"/>
      <c r="U13" s="143"/>
    </row>
    <row r="14" spans="2:21" x14ac:dyDescent="0.2">
      <c r="B14" t="str">
        <f>O14</f>
        <v>CSHECOA</v>
      </c>
      <c r="C14" t="str">
        <f>$B$2&amp;RIGHT(B14,3)</f>
        <v>COMCOA</v>
      </c>
      <c r="D14" t="str">
        <f t="shared" ref="D14:D19" si="0">$O$5</f>
        <v>DCSH</v>
      </c>
      <c r="E14" s="63">
        <f>'EB1'!$D$6*'EB1'!$D$24/(G14*H14)*1.01</f>
        <v>0</v>
      </c>
      <c r="F14" s="68">
        <v>0.85</v>
      </c>
      <c r="G14" s="68">
        <v>0.3</v>
      </c>
      <c r="H14" s="69">
        <v>31.536000000000001</v>
      </c>
      <c r="I14" s="41">
        <v>15</v>
      </c>
      <c r="K14" s="28">
        <f>E14*G14*H14</f>
        <v>0</v>
      </c>
      <c r="M14" s="140" t="s">
        <v>95</v>
      </c>
      <c r="N14" s="144"/>
      <c r="O14" s="144" t="str">
        <f>LEFT($B$2)&amp;'EB1'!$C$21&amp;$I$2&amp;'EB1'!$D$2</f>
        <v>CSHECOA</v>
      </c>
      <c r="P14" s="144" t="str">
        <f>$D$2&amp;" "&amp;$C$2&amp; " Sector - "&amp;""&amp;$I$1&amp;" "&amp;'EB1'!$X$21&amp;" - "&amp;'EB1'!$D$3</f>
        <v>Demand Technologies Commercial Sector - Existing Space Heating - Solid Fuels</v>
      </c>
      <c r="Q14" s="144" t="str">
        <f t="shared" ref="Q14:Q25" si="1">$E$2</f>
        <v>PJ</v>
      </c>
      <c r="R14" s="144" t="s">
        <v>121</v>
      </c>
      <c r="S14" s="144"/>
      <c r="T14" s="144"/>
      <c r="U14" s="144"/>
    </row>
    <row r="15" spans="2:21" x14ac:dyDescent="0.2">
      <c r="B15" t="str">
        <f t="shared" ref="B15:B25" si="2">O15</f>
        <v>CSHEGAS</v>
      </c>
      <c r="C15" t="str">
        <f t="shared" ref="C15:C25" si="3">$B$2&amp;RIGHT(B15,3)</f>
        <v>COMGAS</v>
      </c>
      <c r="D15" t="str">
        <f t="shared" si="0"/>
        <v>DCSH</v>
      </c>
      <c r="E15" s="63">
        <f>'EB1'!$E$6*'EB1'!$E$24/(G15*H15)*1.01</f>
        <v>52.36229959411466</v>
      </c>
      <c r="F15" s="68">
        <v>0.9</v>
      </c>
      <c r="G15" s="68">
        <v>0.3</v>
      </c>
      <c r="H15" s="69">
        <v>31.536000000000001</v>
      </c>
      <c r="I15" s="41">
        <v>15</v>
      </c>
      <c r="K15" s="28">
        <f t="shared" ref="K15:K25" si="4">E15*G15*H15</f>
        <v>495.38924399999996</v>
      </c>
      <c r="M15" s="144"/>
      <c r="N15" s="144"/>
      <c r="O15" s="144" t="str">
        <f>LEFT($B$2)&amp;'EB1'!$C$21&amp;$I$2&amp;'EB1'!$E$2</f>
        <v>CSHEGAS</v>
      </c>
      <c r="P15" s="144" t="str">
        <f>$D$2&amp;" "&amp;$C$2&amp; " Sector - "&amp;""&amp;$I$1&amp;" "&amp;'EB1'!$X$21&amp;" - "&amp;'EB1'!$E$3</f>
        <v>Demand Technologies Commercial Sector - Existing Space Heating - Natural Gas</v>
      </c>
      <c r="Q15" s="144" t="str">
        <f t="shared" si="1"/>
        <v>PJ</v>
      </c>
      <c r="R15" s="144" t="s">
        <v>121</v>
      </c>
      <c r="S15" s="144"/>
      <c r="T15" s="144"/>
      <c r="U15" s="144"/>
    </row>
    <row r="16" spans="2:21" x14ac:dyDescent="0.2">
      <c r="B16" t="str">
        <f t="shared" si="2"/>
        <v>CSHEOIL</v>
      </c>
      <c r="C16" t="str">
        <f t="shared" si="3"/>
        <v>COMOIL</v>
      </c>
      <c r="D16" t="str">
        <f t="shared" si="0"/>
        <v>DCSH</v>
      </c>
      <c r="E16" s="63">
        <f>SUM('EB1'!$G$6:$J$6,'EB1'!$L$6:$M$6)*'EB1'!$G$24/(G16*H16)*1.01</f>
        <v>31.93972338491459</v>
      </c>
      <c r="F16" s="68">
        <v>0.8</v>
      </c>
      <c r="G16" s="68">
        <v>0.3</v>
      </c>
      <c r="H16" s="69">
        <v>31.536000000000001</v>
      </c>
      <c r="I16" s="41">
        <v>15</v>
      </c>
      <c r="K16" s="28">
        <f t="shared" si="4"/>
        <v>302.17533499999996</v>
      </c>
      <c r="M16" s="144"/>
      <c r="N16" s="144"/>
      <c r="O16" s="144" t="str">
        <f>LEFT($B$2)&amp;'EB1'!$C$21&amp;$I$2&amp;'EB1'!$F$2</f>
        <v>CSHEOIL</v>
      </c>
      <c r="P16" s="144" t="str">
        <f>$D$2&amp;" "&amp;$C$2&amp; " Sector - "&amp;""&amp;$I$1&amp;" "&amp;'EB1'!$X$21&amp;" - "&amp;RIGHT('EB1'!$F$3,3)</f>
        <v>Demand Technologies Commercial Sector - Existing Space Heating - Oil</v>
      </c>
      <c r="Q16" s="144" t="str">
        <f t="shared" si="1"/>
        <v>PJ</v>
      </c>
      <c r="R16" s="144" t="s">
        <v>121</v>
      </c>
      <c r="S16" s="144"/>
      <c r="T16" s="144"/>
      <c r="U16" s="144"/>
    </row>
    <row r="17" spans="2:21" x14ac:dyDescent="0.2">
      <c r="B17" t="str">
        <f>O17</f>
        <v>CSHEBIO</v>
      </c>
      <c r="C17" t="str">
        <f>$B$2&amp;RIGHT(B17,3)</f>
        <v>COMBIO</v>
      </c>
      <c r="D17" t="str">
        <f t="shared" si="0"/>
        <v>DCSH</v>
      </c>
      <c r="E17" s="63">
        <f>'EB1'!$O$6*'EB1'!$O$24/(G17*H17)*1.01</f>
        <v>3.747146118721461</v>
      </c>
      <c r="F17" s="68">
        <v>0.8</v>
      </c>
      <c r="G17" s="68">
        <v>0.3</v>
      </c>
      <c r="H17" s="69">
        <v>31.536000000000001</v>
      </c>
      <c r="I17" s="41">
        <v>15</v>
      </c>
      <c r="K17" s="28">
        <f>E17*G17*H17</f>
        <v>35.450999999999993</v>
      </c>
      <c r="M17" s="144"/>
      <c r="N17" s="144"/>
      <c r="O17" s="144" t="str">
        <f>LEFT($B$2)&amp;'EB1'!$C$21&amp;$I$2&amp;'EB1'!$O$2</f>
        <v>CSHEBIO</v>
      </c>
      <c r="P17" s="144" t="str">
        <f>$D$2&amp;" "&amp;$C$2&amp; " Sector - "&amp;""&amp;$I$1&amp;" "&amp;'EB1'!$X$21&amp;" - "&amp;'EB1'!$O$3</f>
        <v>Demand Technologies Commercial Sector - Existing Space Heating - Biomass</v>
      </c>
      <c r="Q17" s="144" t="str">
        <f t="shared" si="1"/>
        <v>PJ</v>
      </c>
      <c r="R17" s="144" t="s">
        <v>121</v>
      </c>
      <c r="S17" s="144"/>
      <c r="T17" s="144"/>
      <c r="U17" s="144"/>
    </row>
    <row r="18" spans="2:21" x14ac:dyDescent="0.2">
      <c r="B18" t="str">
        <f>O18</f>
        <v>CSHESOL</v>
      </c>
      <c r="C18" t="str">
        <f>$B$2&amp;RIGHT(B18,3)</f>
        <v>COMSOL</v>
      </c>
      <c r="D18" t="str">
        <f t="shared" si="0"/>
        <v>DCSH</v>
      </c>
      <c r="E18" s="63">
        <f>'EB1'!$R$6*'EB1'!$R$24/(G18*H18)*1.01</f>
        <v>0.80067224759005573</v>
      </c>
      <c r="F18" s="68">
        <v>1</v>
      </c>
      <c r="G18" s="68">
        <v>0.3</v>
      </c>
      <c r="H18" s="69">
        <v>31.536000000000001</v>
      </c>
      <c r="I18" s="41">
        <v>15</v>
      </c>
      <c r="K18" s="28">
        <f>E18*G18*H18</f>
        <v>7.5749999999999993</v>
      </c>
      <c r="M18" s="144"/>
      <c r="N18" s="144"/>
      <c r="O18" s="144" t="str">
        <f>LEFT($B$2)&amp;'EB1'!$C$21&amp;$I$2&amp;'EB1'!$R$2</f>
        <v>CSHESOL</v>
      </c>
      <c r="P18" s="144" t="str">
        <f>$D$2&amp;" "&amp;$C$2&amp; " Sector - "&amp;""&amp;$I$1&amp;" "&amp;'EB1'!$X$21&amp;" - "&amp;'EB1'!$R$3</f>
        <v>Demand Technologies Commercial Sector - Existing Space Heating - Solar energy</v>
      </c>
      <c r="Q18" s="144" t="str">
        <f t="shared" si="1"/>
        <v>PJ</v>
      </c>
      <c r="R18" s="144" t="s">
        <v>121</v>
      </c>
      <c r="S18" s="144"/>
      <c r="T18" s="144"/>
      <c r="U18" s="144"/>
    </row>
    <row r="19" spans="2:21" x14ac:dyDescent="0.2">
      <c r="B19" s="5" t="str">
        <f t="shared" si="2"/>
        <v>CSHEELC</v>
      </c>
      <c r="C19" s="5" t="str">
        <f t="shared" si="3"/>
        <v>COMELC</v>
      </c>
      <c r="D19" s="5" t="str">
        <f t="shared" si="0"/>
        <v>DCSH</v>
      </c>
      <c r="E19" s="79">
        <f>'EB1'!$U$6*'EB1'!$U$24/(G19*H19)*1.01</f>
        <v>6.7453727750295958</v>
      </c>
      <c r="F19" s="111">
        <v>0.95</v>
      </c>
      <c r="G19" s="111">
        <v>0.3</v>
      </c>
      <c r="H19" s="112">
        <v>31.536000000000001</v>
      </c>
      <c r="I19" s="113">
        <v>15</v>
      </c>
      <c r="J19" s="5"/>
      <c r="K19" s="114">
        <f t="shared" si="4"/>
        <v>63.816622749999993</v>
      </c>
      <c r="M19" s="144"/>
      <c r="N19" s="144"/>
      <c r="O19" s="144" t="str">
        <f>LEFT($B$2)&amp;'EB1'!$C$21&amp;$I$2&amp;'EB1'!$U$2</f>
        <v>CSHEELC</v>
      </c>
      <c r="P19" s="144" t="str">
        <f>$D$2&amp;" "&amp;$C$2&amp; " Sector - "&amp;""&amp;$I$1&amp;" "&amp;'EB1'!$X$21&amp;" - "&amp;'EB1'!$U$3</f>
        <v>Demand Technologies Commercial Sector - Existing Space Heating - Electricity</v>
      </c>
      <c r="Q19" s="144" t="str">
        <f t="shared" si="1"/>
        <v>PJ</v>
      </c>
      <c r="R19" s="144" t="s">
        <v>121</v>
      </c>
      <c r="S19" s="144"/>
      <c r="T19" s="144"/>
      <c r="U19" s="144"/>
    </row>
    <row r="20" spans="2:21" x14ac:dyDescent="0.2">
      <c r="B20" s="115" t="str">
        <f t="shared" si="2"/>
        <v>CAPEELC</v>
      </c>
      <c r="C20" s="115" t="str">
        <f t="shared" si="3"/>
        <v>COMELC</v>
      </c>
      <c r="D20" s="115" t="str">
        <f>$O$6</f>
        <v>DCAP</v>
      </c>
      <c r="E20" s="116">
        <f>'EB1'!$U$6*'EB1'!$U$25/(G20*H20)*1.01</f>
        <v>3828.9973650000006</v>
      </c>
      <c r="F20" s="117">
        <v>1</v>
      </c>
      <c r="G20" s="117">
        <v>0.3</v>
      </c>
      <c r="H20" s="131">
        <v>1</v>
      </c>
      <c r="I20" s="118">
        <v>5</v>
      </c>
      <c r="J20" s="115"/>
      <c r="K20" s="119">
        <f t="shared" si="4"/>
        <v>1148.6992095000001</v>
      </c>
      <c r="M20" s="147"/>
      <c r="N20" s="147"/>
      <c r="O20" s="147" t="str">
        <f>LEFT($B$2)&amp;'EB1'!$C$22&amp;$I$2&amp;'EB1'!$U$2</f>
        <v>CAPEELC</v>
      </c>
      <c r="P20" s="147" t="str">
        <f>$D$2&amp;" "&amp;$C$2&amp; " Sector - "&amp;""&amp;$I$1&amp;" "&amp;'EB1'!$X$22&amp;" - "&amp;'EB1'!$U$3</f>
        <v>Demand Technologies Commercial Sector - Existing Appliancens - Electricity</v>
      </c>
      <c r="Q20" s="147" t="str">
        <f t="shared" si="1"/>
        <v>PJ</v>
      </c>
      <c r="R20" s="147" t="str">
        <f t="shared" ref="R20:R25" si="5">$E$2&amp;"a"</f>
        <v>PJa</v>
      </c>
      <c r="S20" s="147"/>
      <c r="T20" s="147"/>
      <c r="U20" s="147"/>
    </row>
    <row r="21" spans="2:21" x14ac:dyDescent="0.2">
      <c r="B21" t="str">
        <f t="shared" si="2"/>
        <v>COTECOA</v>
      </c>
      <c r="C21" t="str">
        <f t="shared" si="3"/>
        <v>COMCOA</v>
      </c>
      <c r="D21" t="str">
        <f>$O$7</f>
        <v>DCOT</v>
      </c>
      <c r="E21" s="63">
        <f>'EB1'!$D$6*'EB1'!$D$26/(G21*H21)*1.01</f>
        <v>124.570875</v>
      </c>
      <c r="F21" s="68">
        <v>1</v>
      </c>
      <c r="G21" s="68">
        <v>0.3</v>
      </c>
      <c r="H21" s="132">
        <v>1</v>
      </c>
      <c r="I21" s="41">
        <v>10</v>
      </c>
      <c r="K21" s="28">
        <f t="shared" si="4"/>
        <v>37.3712625</v>
      </c>
      <c r="M21" s="144"/>
      <c r="N21" s="144"/>
      <c r="O21" s="144" t="str">
        <f>LEFT($B$2)&amp;'EB1'!$C$23&amp;$I$2&amp;'EB1'!$D$2</f>
        <v>COTECOA</v>
      </c>
      <c r="P21" s="144" t="str">
        <f>$D$2&amp;" "&amp;$C$2&amp; " Sector - "&amp;""&amp;$I$1&amp;" "&amp;'EB1'!$X$23&amp;" - "&amp;'EB1'!$D$3</f>
        <v>Demand Technologies Commercial Sector - Existing Other - Solid Fuels</v>
      </c>
      <c r="Q21" s="144" t="str">
        <f t="shared" si="1"/>
        <v>PJ</v>
      </c>
      <c r="R21" s="144" t="str">
        <f t="shared" si="5"/>
        <v>PJa</v>
      </c>
      <c r="S21" s="144"/>
      <c r="T21" s="144"/>
      <c r="U21" s="144"/>
    </row>
    <row r="22" spans="2:21" x14ac:dyDescent="0.2">
      <c r="B22" t="str">
        <f t="shared" si="2"/>
        <v>COTEGAS</v>
      </c>
      <c r="C22" t="str">
        <f t="shared" si="3"/>
        <v>COMGAS</v>
      </c>
      <c r="D22" t="str">
        <f>$O$7</f>
        <v>DCOT</v>
      </c>
      <c r="E22" s="63">
        <f>'EB1'!$E$6*'EB1'!$E$26/(G22*H22)*1.01</f>
        <v>707.69892000000016</v>
      </c>
      <c r="F22" s="68">
        <v>1</v>
      </c>
      <c r="G22" s="68">
        <v>0.3</v>
      </c>
      <c r="H22" s="132">
        <v>1</v>
      </c>
      <c r="I22" s="41">
        <v>10</v>
      </c>
      <c r="K22" s="28">
        <f t="shared" si="4"/>
        <v>212.30967600000005</v>
      </c>
      <c r="M22" s="144"/>
      <c r="N22" s="144"/>
      <c r="O22" s="144" t="str">
        <f>LEFT($B$2)&amp;'EB1'!$C$23&amp;$I$2&amp;'EB1'!$E$2</f>
        <v>COTEGAS</v>
      </c>
      <c r="P22" s="144" t="str">
        <f>$D$2&amp;" "&amp;$C$2&amp; " Sector - "&amp;""&amp;$I$1&amp;" "&amp;'EB1'!$X$23&amp;" - "&amp;'EB1'!$E$3</f>
        <v>Demand Technologies Commercial Sector - Existing Other - Natural Gas</v>
      </c>
      <c r="Q22" s="144" t="str">
        <f t="shared" si="1"/>
        <v>PJ</v>
      </c>
      <c r="R22" s="144" t="str">
        <f t="shared" si="5"/>
        <v>PJa</v>
      </c>
      <c r="S22" s="144"/>
      <c r="T22" s="144"/>
      <c r="U22" s="144"/>
    </row>
    <row r="23" spans="2:21" x14ac:dyDescent="0.2">
      <c r="B23" t="str">
        <f t="shared" si="2"/>
        <v>COTEOIL</v>
      </c>
      <c r="C23" t="str">
        <f t="shared" si="3"/>
        <v>COMOIL</v>
      </c>
      <c r="D23" t="str">
        <f>$O$7</f>
        <v>DCOT</v>
      </c>
      <c r="E23" s="63">
        <f>SUM('EB1'!$G$6:$J$6,'EB1'!$L$6:$M$6)*'EB1'!$G$26/(G23*H23)*1.01</f>
        <v>431.67905000000007</v>
      </c>
      <c r="F23" s="68">
        <v>1</v>
      </c>
      <c r="G23" s="68">
        <v>0.3</v>
      </c>
      <c r="H23" s="132">
        <v>1</v>
      </c>
      <c r="I23" s="41">
        <v>10</v>
      </c>
      <c r="K23" s="28">
        <f t="shared" si="4"/>
        <v>129.50371500000003</v>
      </c>
      <c r="M23" s="144"/>
      <c r="N23" s="144"/>
      <c r="O23" s="144" t="str">
        <f>LEFT($B$2)&amp;'EB1'!$C$23&amp;$I$2&amp;'EB1'!$F$2</f>
        <v>COTEOIL</v>
      </c>
      <c r="P23" s="144" t="str">
        <f>$D$2&amp;" "&amp;$C$2&amp; " Sector - "&amp;""&amp;$I$1&amp;" "&amp;'EB1'!$X$23&amp;" - "&amp;RIGHT('EB1'!$F$3,3)</f>
        <v>Demand Technologies Commercial Sector - Existing Other - Oil</v>
      </c>
      <c r="Q23" s="144" t="str">
        <f t="shared" si="1"/>
        <v>PJ</v>
      </c>
      <c r="R23" s="144" t="str">
        <f t="shared" si="5"/>
        <v>PJa</v>
      </c>
      <c r="S23" s="144"/>
      <c r="T23" s="144"/>
      <c r="U23" s="144"/>
    </row>
    <row r="24" spans="2:21" x14ac:dyDescent="0.2">
      <c r="B24" t="str">
        <f>O24</f>
        <v>COTEBIO</v>
      </c>
      <c r="C24" t="str">
        <f>$B$2&amp;RIGHT(B24,3)</f>
        <v>COMBIO</v>
      </c>
      <c r="D24" t="str">
        <f>$O$7</f>
        <v>DCOT</v>
      </c>
      <c r="E24" s="63">
        <f>'EB1'!$O$6*'EB1'!$O$26/(G24*H24)*1.01</f>
        <v>13.130000000000003</v>
      </c>
      <c r="F24" s="68">
        <v>1</v>
      </c>
      <c r="G24" s="68">
        <v>0.3</v>
      </c>
      <c r="H24" s="132">
        <v>1</v>
      </c>
      <c r="I24" s="41">
        <v>10</v>
      </c>
      <c r="K24" s="28">
        <f>E24*G24*H24</f>
        <v>3.9390000000000005</v>
      </c>
      <c r="M24" s="144"/>
      <c r="N24" s="144"/>
      <c r="O24" s="144" t="str">
        <f>LEFT($B$2)&amp;'EB1'!$C$23&amp;$I$2&amp;'EB1'!$O$2</f>
        <v>COTEBIO</v>
      </c>
      <c r="P24" s="144" t="str">
        <f>$D$2&amp;" "&amp;$C$2&amp; " Sector - "&amp;""&amp;$I$1&amp;" "&amp;'EB1'!$X$23&amp;" - "&amp;'EB1'!$O$3</f>
        <v>Demand Technologies Commercial Sector - Existing Other - Biomass</v>
      </c>
      <c r="Q24" s="144" t="str">
        <f t="shared" si="1"/>
        <v>PJ</v>
      </c>
      <c r="R24" s="144" t="str">
        <f t="shared" si="5"/>
        <v>PJa</v>
      </c>
      <c r="S24" s="144"/>
      <c r="T24" s="144"/>
      <c r="U24" s="144"/>
    </row>
    <row r="25" spans="2:21" x14ac:dyDescent="0.2">
      <c r="B25" t="str">
        <f t="shared" si="2"/>
        <v>COTEELC</v>
      </c>
      <c r="C25" t="str">
        <f t="shared" si="3"/>
        <v>COMELC</v>
      </c>
      <c r="D25" t="str">
        <f>$O$7</f>
        <v>DCOT</v>
      </c>
      <c r="E25" s="63">
        <f>'EB1'!$U$6*'EB1'!$U$26/(G25*H25)*1.01</f>
        <v>212.72207583333307</v>
      </c>
      <c r="F25" s="68">
        <v>1</v>
      </c>
      <c r="G25" s="68">
        <v>0.3</v>
      </c>
      <c r="H25" s="132">
        <v>1</v>
      </c>
      <c r="I25" s="41">
        <v>10</v>
      </c>
      <c r="K25" s="28">
        <f t="shared" si="4"/>
        <v>63.816622749999915</v>
      </c>
      <c r="M25" s="144"/>
      <c r="N25" s="144"/>
      <c r="O25" s="144" t="str">
        <f>LEFT($B$2)&amp;'EB1'!$C$23&amp;$I$2&amp;'EB1'!$U$2</f>
        <v>COTEELC</v>
      </c>
      <c r="P25" s="144" t="str">
        <f>$D$2&amp;" "&amp;$C$2&amp; " Sector - "&amp;""&amp;$I$1&amp;" "&amp;'EB1'!$X$23&amp;" - "&amp;'EB1'!$U$3</f>
        <v>Demand Technologies Commercial Sector - Existing Other - Electricity</v>
      </c>
      <c r="Q25" s="144" t="str">
        <f t="shared" si="1"/>
        <v>PJ</v>
      </c>
      <c r="R25" s="144" t="str">
        <f t="shared" si="5"/>
        <v>PJa</v>
      </c>
      <c r="S25" s="144"/>
      <c r="T25" s="144"/>
      <c r="U25" s="144"/>
    </row>
    <row r="26" spans="2:21" x14ac:dyDescent="0.2">
      <c r="E26" s="6"/>
      <c r="F26" s="16"/>
      <c r="G26" s="16"/>
      <c r="H26" s="16"/>
    </row>
    <row r="27" spans="2:21" x14ac:dyDescent="0.2">
      <c r="E27" s="6"/>
      <c r="F27" s="16"/>
      <c r="G27" s="16"/>
      <c r="H27" s="16"/>
      <c r="P27" s="19"/>
    </row>
    <row r="28" spans="2:21" x14ac:dyDescent="0.2">
      <c r="E28" s="6"/>
      <c r="F28" s="16"/>
      <c r="G28" s="16"/>
      <c r="H28" s="16"/>
      <c r="P28" s="19"/>
    </row>
    <row r="29" spans="2:21" x14ac:dyDescent="0.2">
      <c r="E29" s="6"/>
      <c r="F29" s="16"/>
      <c r="G29" s="16"/>
      <c r="H29" s="16"/>
      <c r="P29" s="19"/>
    </row>
    <row r="37" spans="2:12" x14ac:dyDescent="0.2">
      <c r="B37" s="41"/>
      <c r="C37" s="1" t="s">
        <v>156</v>
      </c>
    </row>
    <row r="38" spans="2:12" x14ac:dyDescent="0.2">
      <c r="B38" s="64"/>
      <c r="C38" s="1" t="s">
        <v>157</v>
      </c>
    </row>
    <row r="39" spans="2:12" x14ac:dyDescent="0.2">
      <c r="J39" s="1"/>
      <c r="K39" s="1"/>
      <c r="L39" s="1"/>
    </row>
    <row r="40" spans="2:12" x14ac:dyDescent="0.2">
      <c r="J40" s="1"/>
      <c r="K40" s="1"/>
      <c r="L40" s="1"/>
    </row>
    <row r="41" spans="2:12" x14ac:dyDescent="0.2">
      <c r="J41" s="1"/>
      <c r="K41" s="1"/>
      <c r="L41" s="1"/>
    </row>
    <row r="42" spans="2:12" x14ac:dyDescent="0.2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zoomScaleNormal="100" workbookViewId="0">
      <selection activeCell="H16" sqref="H16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75" x14ac:dyDescent="0.25">
      <c r="B2" s="9" t="str">
        <f>'EB1'!B5</f>
        <v>RSD</v>
      </c>
      <c r="C2" s="9" t="str">
        <f>'EB1'!C5</f>
        <v>Residential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2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4" thickBot="1" x14ac:dyDescent="0.3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2">
      <c r="E5" s="11"/>
      <c r="F5" s="11"/>
      <c r="G5" s="71"/>
      <c r="H5" s="10"/>
      <c r="J5" s="144" t="s">
        <v>72</v>
      </c>
      <c r="K5" s="144"/>
      <c r="L5" s="144" t="str">
        <f>$B$2&amp;'EB1'!$D$2</f>
        <v>RSDCOA</v>
      </c>
      <c r="M5" s="145" t="str">
        <f>$C$2&amp;" "&amp;'EB1'!$D$3</f>
        <v>Residential Solid Fuels</v>
      </c>
      <c r="N5" s="144" t="str">
        <f t="shared" ref="N5:N10" si="0">$E$2</f>
        <v>PJ</v>
      </c>
      <c r="O5" s="144"/>
      <c r="P5" s="144"/>
      <c r="Q5" s="144"/>
      <c r="R5" s="144"/>
    </row>
    <row r="6" spans="2:18" x14ac:dyDescent="0.2">
      <c r="E6" s="11"/>
      <c r="F6" s="11"/>
      <c r="G6" s="71"/>
      <c r="H6" s="10"/>
      <c r="J6" s="144"/>
      <c r="K6" s="144"/>
      <c r="L6" s="144" t="str">
        <f>$B$2&amp;'EB1'!$E$2</f>
        <v>RSDGAS</v>
      </c>
      <c r="M6" s="145" t="str">
        <f>$C$2&amp;" "&amp;'EB1'!$E$3</f>
        <v>Residential Natural Gas</v>
      </c>
      <c r="N6" s="144" t="str">
        <f t="shared" si="0"/>
        <v>PJ</v>
      </c>
      <c r="O6" s="144"/>
      <c r="P6" s="144"/>
      <c r="Q6" s="144"/>
      <c r="R6" s="144"/>
    </row>
    <row r="7" spans="2:18" x14ac:dyDescent="0.2">
      <c r="E7" s="11"/>
      <c r="F7" s="11"/>
      <c r="G7" s="71"/>
      <c r="H7" s="10"/>
      <c r="J7" s="144"/>
      <c r="K7" s="144"/>
      <c r="L7" s="144" t="str">
        <f>$B$2&amp;'EB1'!$F$2</f>
        <v>RSDOIL</v>
      </c>
      <c r="M7" s="145" t="str">
        <f>$C$2&amp;" "&amp;RIGHT('EB1'!$F$3,3)</f>
        <v>Residential Oil</v>
      </c>
      <c r="N7" s="144" t="str">
        <f t="shared" si="0"/>
        <v>PJ</v>
      </c>
      <c r="O7" s="144"/>
      <c r="P7" s="144"/>
      <c r="Q7" s="144"/>
      <c r="R7" s="144"/>
    </row>
    <row r="8" spans="2:18" x14ac:dyDescent="0.2">
      <c r="E8" s="11"/>
      <c r="F8" s="11"/>
      <c r="G8" s="71"/>
      <c r="H8" s="10"/>
      <c r="J8" s="144"/>
      <c r="K8" s="144"/>
      <c r="L8" s="144" t="str">
        <f>$B$2&amp;'EB1'!$O$2</f>
        <v>RSDBIO</v>
      </c>
      <c r="M8" s="145" t="str">
        <f>$C$2&amp;" "&amp;'EB1'!$O$3</f>
        <v>Residential Biomass</v>
      </c>
      <c r="N8" s="144" t="str">
        <f t="shared" si="0"/>
        <v>PJ</v>
      </c>
      <c r="O8" s="144"/>
      <c r="P8" s="144"/>
      <c r="Q8" s="144"/>
      <c r="R8" s="144"/>
    </row>
    <row r="9" spans="2:18" x14ac:dyDescent="0.2">
      <c r="E9" s="11"/>
      <c r="F9" s="11"/>
      <c r="G9" s="71"/>
      <c r="H9" s="10"/>
      <c r="J9" s="144"/>
      <c r="K9" s="144"/>
      <c r="L9" s="144" t="str">
        <f>$B$2&amp;'EB1'!$R$2</f>
        <v>RSDSOL</v>
      </c>
      <c r="M9" s="145" t="str">
        <f>$C$2&amp;" "&amp;'EB1'!$R$3</f>
        <v>Residential Solar energy</v>
      </c>
      <c r="N9" s="144" t="str">
        <f t="shared" si="0"/>
        <v>PJ</v>
      </c>
      <c r="O9" s="144"/>
      <c r="P9" s="144"/>
      <c r="Q9" s="144"/>
      <c r="R9" s="144"/>
    </row>
    <row r="10" spans="2:18" x14ac:dyDescent="0.2">
      <c r="E10" s="11"/>
      <c r="F10" s="11"/>
      <c r="G10" s="71"/>
      <c r="H10" s="10"/>
      <c r="J10" s="144"/>
      <c r="K10" s="144"/>
      <c r="L10" s="144" t="str">
        <f>$B$2&amp;'EB1'!$U$2</f>
        <v>RSDELC</v>
      </c>
      <c r="M10" s="145" t="str">
        <f>$C$2&amp;" "&amp;'EB1'!$R$3</f>
        <v>Residential Solar energy</v>
      </c>
      <c r="N10" s="144" t="str">
        <f t="shared" si="0"/>
        <v>PJ</v>
      </c>
      <c r="O10" s="144"/>
      <c r="P10" s="144" t="s">
        <v>130</v>
      </c>
      <c r="Q10" s="144"/>
      <c r="R10" s="144" t="s">
        <v>50</v>
      </c>
    </row>
    <row r="11" spans="2:18" x14ac:dyDescent="0.2">
      <c r="E11" s="11"/>
      <c r="F11" s="11"/>
      <c r="G11" s="71"/>
      <c r="H11" s="10"/>
      <c r="M11" s="19"/>
    </row>
    <row r="12" spans="2:18" x14ac:dyDescent="0.2">
      <c r="L12" s="23"/>
      <c r="M12" s="24"/>
    </row>
    <row r="13" spans="2:18" x14ac:dyDescent="0.2">
      <c r="D13" s="4" t="s">
        <v>13</v>
      </c>
      <c r="E13" s="4"/>
      <c r="F13" s="4"/>
      <c r="J13" s="139" t="s">
        <v>15</v>
      </c>
      <c r="K13" s="139"/>
      <c r="L13" s="144"/>
      <c r="M13" s="144"/>
      <c r="N13" s="144"/>
      <c r="O13" s="144"/>
      <c r="P13" s="144"/>
      <c r="Q13" s="144"/>
      <c r="R13" s="144"/>
    </row>
    <row r="14" spans="2:18" x14ac:dyDescent="0.2">
      <c r="B14" s="17" t="s">
        <v>1</v>
      </c>
      <c r="C14" s="17" t="s">
        <v>5</v>
      </c>
      <c r="D14" s="17" t="s">
        <v>6</v>
      </c>
      <c r="E14" s="77" t="s">
        <v>152</v>
      </c>
      <c r="F14" s="74" t="s">
        <v>132</v>
      </c>
      <c r="G14" s="74" t="s">
        <v>84</v>
      </c>
      <c r="H14" s="74" t="s">
        <v>79</v>
      </c>
      <c r="J14" s="141" t="s">
        <v>11</v>
      </c>
      <c r="K14" s="142" t="s">
        <v>30</v>
      </c>
      <c r="L14" s="141" t="s">
        <v>1</v>
      </c>
      <c r="M14" s="141" t="s">
        <v>2</v>
      </c>
      <c r="N14" s="141" t="s">
        <v>16</v>
      </c>
      <c r="O14" s="141" t="s">
        <v>17</v>
      </c>
      <c r="P14" s="141" t="s">
        <v>18</v>
      </c>
      <c r="Q14" s="141" t="s">
        <v>19</v>
      </c>
      <c r="R14" s="141" t="s">
        <v>20</v>
      </c>
    </row>
    <row r="15" spans="2:18" ht="23.25" thickBot="1" x14ac:dyDescent="0.25">
      <c r="B15" s="15" t="s">
        <v>39</v>
      </c>
      <c r="C15" s="15" t="s">
        <v>32</v>
      </c>
      <c r="D15" s="15" t="s">
        <v>33</v>
      </c>
      <c r="E15" s="15" t="s">
        <v>151</v>
      </c>
      <c r="F15" s="15" t="s">
        <v>34</v>
      </c>
      <c r="G15" s="15" t="s">
        <v>89</v>
      </c>
      <c r="H15" s="15" t="s">
        <v>177</v>
      </c>
      <c r="J15" s="143" t="s">
        <v>38</v>
      </c>
      <c r="K15" s="143" t="s">
        <v>31</v>
      </c>
      <c r="L15" s="143" t="s">
        <v>21</v>
      </c>
      <c r="M15" s="143" t="s">
        <v>22</v>
      </c>
      <c r="N15" s="143" t="s">
        <v>23</v>
      </c>
      <c r="O15" s="143" t="s">
        <v>24</v>
      </c>
      <c r="P15" s="143" t="s">
        <v>43</v>
      </c>
      <c r="Q15" s="143" t="s">
        <v>42</v>
      </c>
      <c r="R15" s="143" t="s">
        <v>25</v>
      </c>
    </row>
    <row r="16" spans="2:18" ht="13.5" thickBot="1" x14ac:dyDescent="0.25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43" t="s">
        <v>81</v>
      </c>
      <c r="K16" s="146"/>
      <c r="L16" s="146"/>
      <c r="M16" s="146"/>
      <c r="N16" s="146"/>
      <c r="O16" s="146"/>
      <c r="P16" s="146"/>
      <c r="Q16" s="146"/>
      <c r="R16" s="146"/>
    </row>
    <row r="17" spans="2:18" x14ac:dyDescent="0.2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6">
        <v>1</v>
      </c>
      <c r="H17" s="67">
        <v>50</v>
      </c>
      <c r="J17" s="140" t="s">
        <v>115</v>
      </c>
      <c r="K17" s="144"/>
      <c r="L17" s="144" t="str">
        <f t="shared" ref="L17:L22" si="1">"FT"&amp;$G$2&amp;"-"&amp;L5</f>
        <v>FTE-RSDCOA</v>
      </c>
      <c r="M17" s="145" t="str">
        <f t="shared" ref="M17:M22" si="2">$D$2&amp;" Technology"&amp;" "&amp;$G$1&amp;" "&amp;M5</f>
        <v>Sector Fuel Technology Existing Residential Solid Fuels</v>
      </c>
      <c r="N17" s="144" t="str">
        <f t="shared" ref="N17:N22" si="3">$E$2</f>
        <v>PJ</v>
      </c>
      <c r="O17" s="144" t="str">
        <f t="shared" ref="O17:O22" si="4">$E$2&amp;"a"</f>
        <v>PJa</v>
      </c>
      <c r="P17" s="144"/>
      <c r="Q17" s="144"/>
      <c r="R17" s="144"/>
    </row>
    <row r="18" spans="2:18" x14ac:dyDescent="0.2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6">
        <v>1</v>
      </c>
      <c r="H18" s="67">
        <v>50</v>
      </c>
      <c r="J18" s="144"/>
      <c r="K18" s="144"/>
      <c r="L18" s="144" t="str">
        <f t="shared" si="1"/>
        <v>FTE-RSDGAS</v>
      </c>
      <c r="M18" s="145" t="str">
        <f t="shared" si="2"/>
        <v>Sector Fuel Technology Existing Residential Natural Gas</v>
      </c>
      <c r="N18" s="144" t="str">
        <f t="shared" si="3"/>
        <v>PJ</v>
      </c>
      <c r="O18" s="144" t="str">
        <f t="shared" si="4"/>
        <v>PJa</v>
      </c>
      <c r="P18" s="144"/>
      <c r="Q18" s="144"/>
      <c r="R18" s="144"/>
    </row>
    <row r="19" spans="2:18" x14ac:dyDescent="0.2">
      <c r="B19" t="str">
        <f>L19</f>
        <v>FTE-RSDOIL</v>
      </c>
      <c r="C19" t="str">
        <f>'EB1'!$G$2</f>
        <v>DSL</v>
      </c>
      <c r="D19" t="str">
        <f>L7</f>
        <v>RSDOIL</v>
      </c>
      <c r="E19" s="126">
        <f>'EB1'!$G$5/SUM('EB1'!$G$5:$J$5,'EB1'!$L$5:$M$5)</f>
        <v>0.75311722876888187</v>
      </c>
      <c r="G19" s="66">
        <v>1</v>
      </c>
      <c r="H19" s="67">
        <v>50</v>
      </c>
      <c r="J19" s="144"/>
      <c r="K19" s="144"/>
      <c r="L19" s="144" t="str">
        <f t="shared" si="1"/>
        <v>FTE-RSDOIL</v>
      </c>
      <c r="M19" s="145" t="str">
        <f t="shared" si="2"/>
        <v>Sector Fuel Technology Existing Residential Oil</v>
      </c>
      <c r="N19" s="144" t="str">
        <f t="shared" si="3"/>
        <v>PJ</v>
      </c>
      <c r="O19" s="144" t="str">
        <f t="shared" si="4"/>
        <v>PJa</v>
      </c>
      <c r="P19" s="144"/>
      <c r="Q19" s="144"/>
      <c r="R19" s="144"/>
    </row>
    <row r="20" spans="2:18" x14ac:dyDescent="0.2">
      <c r="C20" t="str">
        <f>'EB1'!$H$2</f>
        <v>KER</v>
      </c>
      <c r="E20" s="126">
        <f>'EB1'!$H$5/SUM('EB1'!$G$5:$J$5,'EB1'!$L$5:$M$5)</f>
        <v>6.3731029623556271E-2</v>
      </c>
      <c r="F20" s="11"/>
      <c r="G20" s="71"/>
      <c r="H20" s="10"/>
      <c r="J20" s="144"/>
      <c r="K20" s="144"/>
      <c r="L20" s="144" t="str">
        <f t="shared" si="1"/>
        <v>FTE-RSDBIO</v>
      </c>
      <c r="M20" s="145" t="str">
        <f t="shared" si="2"/>
        <v>Sector Fuel Technology Existing Residential Biomass</v>
      </c>
      <c r="N20" s="144" t="str">
        <f t="shared" si="3"/>
        <v>PJ</v>
      </c>
      <c r="O20" s="144" t="str">
        <f t="shared" si="4"/>
        <v>PJa</v>
      </c>
      <c r="P20" s="144"/>
      <c r="Q20" s="144"/>
      <c r="R20" s="144"/>
    </row>
    <row r="21" spans="2:18" x14ac:dyDescent="0.2">
      <c r="C21" t="str">
        <f>'EB1'!$I$2</f>
        <v>LPG</v>
      </c>
      <c r="E21" s="126">
        <f>'EB1'!$I$5/SUM('EB1'!$G$5:$J$5,'EB1'!$L$5:$M$5)</f>
        <v>0.16614387061857086</v>
      </c>
      <c r="F21" s="11"/>
      <c r="G21" s="71"/>
      <c r="H21" s="10"/>
      <c r="J21" s="144"/>
      <c r="K21" s="144"/>
      <c r="L21" s="144" t="str">
        <f t="shared" si="1"/>
        <v>FTE-RSDSOL</v>
      </c>
      <c r="M21" s="145" t="str">
        <f t="shared" si="2"/>
        <v>Sector Fuel Technology Existing Residential Solar energy</v>
      </c>
      <c r="N21" s="144" t="str">
        <f t="shared" si="3"/>
        <v>PJ</v>
      </c>
      <c r="O21" s="144" t="str">
        <f t="shared" si="4"/>
        <v>PJa</v>
      </c>
      <c r="P21" s="144"/>
      <c r="Q21" s="144"/>
      <c r="R21" s="144"/>
    </row>
    <row r="22" spans="2:18" x14ac:dyDescent="0.2">
      <c r="C22" t="str">
        <f>'EB1'!$J$2</f>
        <v>GSL</v>
      </c>
      <c r="E22" s="126">
        <f>'EB1'!$J$5/SUM('EB1'!$G$5:$J$5,'EB1'!$L$5:$M$5)</f>
        <v>2.7676666988454513E-3</v>
      </c>
      <c r="F22" s="11"/>
      <c r="G22" s="71"/>
      <c r="H22" s="10"/>
      <c r="J22" s="144"/>
      <c r="K22" s="144"/>
      <c r="L22" s="144" t="str">
        <f t="shared" si="1"/>
        <v>FTE-RSDELC</v>
      </c>
      <c r="M22" s="145" t="str">
        <f t="shared" si="2"/>
        <v>Sector Fuel Technology Existing Residential Solar energy</v>
      </c>
      <c r="N22" s="144" t="str">
        <f t="shared" si="3"/>
        <v>PJ</v>
      </c>
      <c r="O22" s="144" t="str">
        <f t="shared" si="4"/>
        <v>PJa</v>
      </c>
      <c r="P22" s="144" t="s">
        <v>130</v>
      </c>
      <c r="Q22" s="144"/>
      <c r="R22" s="144"/>
    </row>
    <row r="23" spans="2:18" x14ac:dyDescent="0.2">
      <c r="C23" t="str">
        <f>'EB1'!$L$2</f>
        <v>HFO</v>
      </c>
      <c r="E23" s="126">
        <f>'EB1'!$L$5/SUM('EB1'!$G$5:$J$5,'EB1'!$L$5:$M$5)</f>
        <v>1.3436462698309041E-2</v>
      </c>
      <c r="F23" s="11"/>
      <c r="G23" s="71"/>
      <c r="H23" s="10"/>
      <c r="M23" s="19"/>
    </row>
    <row r="24" spans="2:18" x14ac:dyDescent="0.2">
      <c r="C24" t="str">
        <f>'EB1'!$M$2</f>
        <v>OPP</v>
      </c>
      <c r="E24" s="126">
        <f>'EB1'!$M$5/SUM('EB1'!$G$5:$J$5,'EB1'!$L$5:$M$5)</f>
        <v>8.037415918364316E-4</v>
      </c>
      <c r="F24" s="11"/>
      <c r="G24" s="71"/>
      <c r="H24" s="10"/>
      <c r="M24" s="19"/>
    </row>
    <row r="25" spans="2:18" x14ac:dyDescent="0.2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6">
        <v>1</v>
      </c>
      <c r="H25" s="67">
        <v>50</v>
      </c>
      <c r="J25" s="23"/>
      <c r="K25" s="23"/>
      <c r="M25" s="19"/>
    </row>
    <row r="26" spans="2:18" x14ac:dyDescent="0.2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6">
        <v>1</v>
      </c>
      <c r="H26" s="67">
        <v>50</v>
      </c>
      <c r="J26" s="23"/>
      <c r="K26" s="23"/>
      <c r="M26" s="19"/>
    </row>
    <row r="27" spans="2:18" x14ac:dyDescent="0.2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/>
      <c r="G27" s="66">
        <v>1</v>
      </c>
      <c r="H27" s="67">
        <v>50</v>
      </c>
      <c r="J27" s="23"/>
      <c r="K27" s="23"/>
      <c r="M27" s="19"/>
    </row>
    <row r="28" spans="2:18" x14ac:dyDescent="0.2">
      <c r="E28" s="11"/>
      <c r="F28" s="11"/>
      <c r="G28" s="71"/>
      <c r="H28" s="10"/>
      <c r="J28" s="23"/>
      <c r="K28" s="23"/>
      <c r="M28" s="19"/>
    </row>
    <row r="29" spans="2:18" x14ac:dyDescent="0.2">
      <c r="E29" s="11"/>
      <c r="F29" s="11"/>
      <c r="G29" s="71"/>
      <c r="H29" s="10"/>
      <c r="M29" s="19"/>
    </row>
    <row r="30" spans="2:18" x14ac:dyDescent="0.2">
      <c r="E30" s="11"/>
      <c r="F30" s="11"/>
      <c r="G30" s="71"/>
      <c r="H30" s="10"/>
    </row>
    <row r="31" spans="2:18" x14ac:dyDescent="0.2">
      <c r="B31" s="41"/>
      <c r="C31" s="1" t="s">
        <v>156</v>
      </c>
      <c r="D31" s="23"/>
      <c r="E31" s="11"/>
      <c r="F31" s="11"/>
      <c r="G31" s="71"/>
      <c r="H31" s="10"/>
    </row>
    <row r="32" spans="2:18" x14ac:dyDescent="0.2">
      <c r="B32" s="64"/>
      <c r="C32" s="1" t="s">
        <v>157</v>
      </c>
      <c r="D32" s="23"/>
      <c r="E32" s="11"/>
      <c r="F32" s="11"/>
      <c r="G32" s="71"/>
      <c r="H32" s="10"/>
    </row>
    <row r="33" spans="2:8" x14ac:dyDescent="0.2">
      <c r="B33" s="23"/>
      <c r="D33" s="23"/>
      <c r="E33" s="100"/>
      <c r="F33" s="11"/>
      <c r="G33" s="71"/>
      <c r="H33" s="10"/>
    </row>
    <row r="34" spans="2:8" x14ac:dyDescent="0.2">
      <c r="B34" s="23"/>
      <c r="D34" s="23"/>
      <c r="E34" s="100"/>
      <c r="F34" s="11"/>
      <c r="G34" s="71"/>
      <c r="H34" s="10"/>
    </row>
    <row r="35" spans="2:8" x14ac:dyDescent="0.2">
      <c r="B35" s="23"/>
      <c r="D35" s="23"/>
      <c r="E35" s="100"/>
      <c r="F35" s="11"/>
      <c r="G35" s="71"/>
      <c r="H35" s="10"/>
    </row>
    <row r="36" spans="2:8" x14ac:dyDescent="0.2">
      <c r="B36" s="23"/>
      <c r="D36" s="23"/>
      <c r="E36" s="100"/>
      <c r="F36" s="11"/>
      <c r="G36" s="71"/>
      <c r="H36" s="10"/>
    </row>
    <row r="37" spans="2:8" x14ac:dyDescent="0.2">
      <c r="B37" s="23"/>
      <c r="D37" s="23"/>
      <c r="E37" s="11"/>
      <c r="F37" s="11"/>
      <c r="G37" s="71"/>
      <c r="H37" s="10"/>
    </row>
    <row r="38" spans="2:8" x14ac:dyDescent="0.2">
      <c r="B38" s="23"/>
      <c r="D38" s="23"/>
      <c r="E38" s="11"/>
      <c r="F38" s="11"/>
      <c r="G38" s="71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2"/>
  <sheetViews>
    <sheetView zoomScaleNormal="100" workbookViewId="0">
      <selection activeCell="I25" sqref="I25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7" t="s">
        <v>78</v>
      </c>
      <c r="I1" s="7" t="s">
        <v>98</v>
      </c>
    </row>
    <row r="2" spans="2:21" ht="31.5" x14ac:dyDescent="0.25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164</v>
      </c>
      <c r="G2" s="9" t="str">
        <f>'EB1'!Y2</f>
        <v>M€2005</v>
      </c>
      <c r="I2" s="9" t="s">
        <v>99</v>
      </c>
      <c r="M2" s="139" t="s">
        <v>14</v>
      </c>
      <c r="N2" s="139"/>
      <c r="O2" s="140"/>
      <c r="P2" s="140"/>
      <c r="Q2" s="140"/>
      <c r="R2" s="140"/>
      <c r="S2" s="140"/>
      <c r="T2" s="140"/>
      <c r="U2" s="140"/>
    </row>
    <row r="3" spans="2:21" x14ac:dyDescent="0.2">
      <c r="M3" s="141" t="s">
        <v>7</v>
      </c>
      <c r="N3" s="142" t="s">
        <v>30</v>
      </c>
      <c r="O3" s="141" t="s">
        <v>0</v>
      </c>
      <c r="P3" s="141" t="s">
        <v>3</v>
      </c>
      <c r="Q3" s="141" t="s">
        <v>4</v>
      </c>
      <c r="R3" s="141" t="s">
        <v>8</v>
      </c>
      <c r="S3" s="141" t="s">
        <v>9</v>
      </c>
      <c r="T3" s="141" t="s">
        <v>10</v>
      </c>
      <c r="U3" s="141" t="s">
        <v>12</v>
      </c>
    </row>
    <row r="4" spans="2:21" ht="24" thickBot="1" x14ac:dyDescent="0.3">
      <c r="B4" s="8"/>
      <c r="C4" s="8"/>
      <c r="D4" s="8"/>
      <c r="E4" s="8"/>
      <c r="F4" s="8"/>
      <c r="M4" s="143" t="s">
        <v>37</v>
      </c>
      <c r="N4" s="143" t="s">
        <v>31</v>
      </c>
      <c r="O4" s="143" t="s">
        <v>26</v>
      </c>
      <c r="P4" s="143" t="s">
        <v>27</v>
      </c>
      <c r="Q4" s="143" t="s">
        <v>4</v>
      </c>
      <c r="R4" s="143" t="s">
        <v>40</v>
      </c>
      <c r="S4" s="143" t="s">
        <v>41</v>
      </c>
      <c r="T4" s="143" t="s">
        <v>28</v>
      </c>
      <c r="U4" s="143" t="s">
        <v>29</v>
      </c>
    </row>
    <row r="5" spans="2:21" ht="15.75" x14ac:dyDescent="0.25">
      <c r="B5" s="8"/>
      <c r="C5" s="8"/>
      <c r="D5" s="8"/>
      <c r="E5" s="8"/>
      <c r="F5" s="8"/>
      <c r="M5" s="140" t="s">
        <v>83</v>
      </c>
      <c r="N5" s="144"/>
      <c r="O5" s="140" t="str">
        <f>LEFT($M$5,1)&amp;LEFT($B$2,1)&amp;'EB1'!$C$21</f>
        <v>DRSH</v>
      </c>
      <c r="P5" s="140" t="str">
        <f>LEFT($D$2,6)&amp;" "&amp;$C$2&amp; " Sector - "&amp;'EB1'!$X$21</f>
        <v>Demand Residential Sector - Space Heating</v>
      </c>
      <c r="Q5" s="140" t="str">
        <f>$E$2</f>
        <v>PJ</v>
      </c>
      <c r="R5" s="140"/>
      <c r="S5" s="140"/>
      <c r="T5" s="140"/>
      <c r="U5" s="140"/>
    </row>
    <row r="6" spans="2:21" ht="15.75" x14ac:dyDescent="0.25">
      <c r="B6" s="8"/>
      <c r="C6" s="8"/>
      <c r="D6" s="8"/>
      <c r="E6" s="8"/>
      <c r="F6" s="8"/>
      <c r="M6" s="140"/>
      <c r="N6" s="144"/>
      <c r="O6" s="140" t="str">
        <f>LEFT($M$5,1)&amp;LEFT($B$2,1)&amp;'EB1'!$C$22</f>
        <v>DRAP</v>
      </c>
      <c r="P6" s="140" t="str">
        <f>LEFT($D$2,6)&amp;" "&amp;$C$2&amp; " Sector - "&amp;'EB1'!$X$22</f>
        <v>Demand Residential Sector - Appliancens</v>
      </c>
      <c r="Q6" s="140" t="str">
        <f>$E$2</f>
        <v>PJ</v>
      </c>
      <c r="R6" s="140"/>
      <c r="S6" s="140"/>
      <c r="T6" s="140"/>
      <c r="U6" s="140"/>
    </row>
    <row r="7" spans="2:21" ht="15.75" x14ac:dyDescent="0.25">
      <c r="B7" s="8"/>
      <c r="C7" s="8"/>
      <c r="D7" s="8"/>
      <c r="E7" s="8"/>
      <c r="F7" s="8"/>
      <c r="M7" s="140"/>
      <c r="N7" s="144"/>
      <c r="O7" s="140" t="str">
        <f>LEFT($M$5,1)&amp;LEFT($B$2,1)&amp;'EB1'!$C$23</f>
        <v>DROT</v>
      </c>
      <c r="P7" s="140" t="str">
        <f>LEFT($D$2,6)&amp;" "&amp;$C$2&amp; " Sector - "&amp;'EB1'!$X$23</f>
        <v>Demand Residential Sector - Other</v>
      </c>
      <c r="Q7" s="140" t="str">
        <f>$E$2</f>
        <v>PJ</v>
      </c>
      <c r="R7" s="140"/>
      <c r="S7" s="140"/>
      <c r="T7" s="140"/>
      <c r="U7" s="140"/>
    </row>
    <row r="8" spans="2:21" x14ac:dyDescent="0.2">
      <c r="M8" s="144" t="s">
        <v>108</v>
      </c>
      <c r="N8" s="144"/>
      <c r="O8" s="144" t="str">
        <f>$B$2&amp;'EB1'!$C$29</f>
        <v>RSDCO2</v>
      </c>
      <c r="P8" s="144" t="str">
        <f>$C$2&amp;" "&amp;'EB1'!C30</f>
        <v>Residential Carbon dioxide</v>
      </c>
      <c r="Q8" s="144" t="str">
        <f>'EB1'!$AA$2</f>
        <v>kt</v>
      </c>
      <c r="R8" s="144"/>
      <c r="S8" s="144"/>
      <c r="T8" s="144"/>
      <c r="U8" s="144"/>
    </row>
    <row r="10" spans="2:21" x14ac:dyDescent="0.2">
      <c r="D10" s="4" t="s">
        <v>13</v>
      </c>
      <c r="E10" s="4"/>
      <c r="G10" s="4"/>
      <c r="H10" s="4"/>
      <c r="I10" s="13"/>
      <c r="M10" s="139" t="s">
        <v>15</v>
      </c>
      <c r="N10" s="139"/>
      <c r="O10" s="144"/>
      <c r="P10" s="144"/>
      <c r="Q10" s="144"/>
      <c r="R10" s="144"/>
      <c r="S10" s="144"/>
      <c r="T10" s="144"/>
      <c r="U10" s="144"/>
    </row>
    <row r="11" spans="2:21" x14ac:dyDescent="0.2">
      <c r="B11" s="17" t="s">
        <v>1</v>
      </c>
      <c r="C11" s="17" t="s">
        <v>5</v>
      </c>
      <c r="D11" s="17" t="s">
        <v>6</v>
      </c>
      <c r="E11" s="74" t="s">
        <v>132</v>
      </c>
      <c r="F11" s="74" t="s">
        <v>84</v>
      </c>
      <c r="G11" s="74" t="s">
        <v>96</v>
      </c>
      <c r="H11" s="74" t="s">
        <v>122</v>
      </c>
      <c r="I11" s="74" t="s">
        <v>79</v>
      </c>
      <c r="K11" s="99" t="s">
        <v>35</v>
      </c>
      <c r="L11" s="110"/>
      <c r="M11" s="141" t="s">
        <v>11</v>
      </c>
      <c r="N11" s="142" t="s">
        <v>30</v>
      </c>
      <c r="O11" s="141" t="s">
        <v>1</v>
      </c>
      <c r="P11" s="141" t="s">
        <v>2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41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6" t="s">
        <v>97</v>
      </c>
      <c r="H12" s="15" t="s">
        <v>123</v>
      </c>
      <c r="I12" s="15" t="s">
        <v>177</v>
      </c>
      <c r="K12" s="99" t="s">
        <v>161</v>
      </c>
      <c r="L12" s="34"/>
      <c r="M12" s="143" t="s">
        <v>38</v>
      </c>
      <c r="N12" s="143" t="s">
        <v>31</v>
      </c>
      <c r="O12" s="143" t="s">
        <v>21</v>
      </c>
      <c r="P12" s="143" t="s">
        <v>22</v>
      </c>
      <c r="Q12" s="143" t="s">
        <v>23</v>
      </c>
      <c r="R12" s="143" t="s">
        <v>24</v>
      </c>
      <c r="S12" s="143" t="s">
        <v>43</v>
      </c>
      <c r="T12" s="143" t="s">
        <v>42</v>
      </c>
      <c r="U12" s="143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121</v>
      </c>
      <c r="F13" s="12"/>
      <c r="G13" s="76"/>
      <c r="H13" s="12" t="s">
        <v>163</v>
      </c>
      <c r="I13" s="12" t="s">
        <v>91</v>
      </c>
      <c r="K13" s="12"/>
      <c r="M13" s="143" t="s">
        <v>81</v>
      </c>
      <c r="N13" s="143"/>
      <c r="O13" s="143"/>
      <c r="P13" s="143"/>
      <c r="Q13" s="143"/>
      <c r="R13" s="143"/>
      <c r="S13" s="143"/>
      <c r="T13" s="143"/>
      <c r="U13" s="143"/>
    </row>
    <row r="14" spans="2:21" x14ac:dyDescent="0.2">
      <c r="B14" t="str">
        <f t="shared" ref="B14:B25" si="0">O14</f>
        <v>RSHECOA</v>
      </c>
      <c r="C14" t="str">
        <f>$B$2&amp;RIGHT(B14,3)</f>
        <v>RSDCOA</v>
      </c>
      <c r="D14" t="str">
        <f t="shared" ref="D14:D19" si="1">$O$5</f>
        <v>DRSH</v>
      </c>
      <c r="E14" s="63">
        <f>'EB1'!$D$5*'EB1'!$D$21/(G14*H14)*1.01</f>
        <v>0</v>
      </c>
      <c r="F14" s="68">
        <v>0.85</v>
      </c>
      <c r="G14" s="68">
        <v>0.3</v>
      </c>
      <c r="H14" s="69">
        <v>31.536000000000001</v>
      </c>
      <c r="I14" s="41">
        <v>15</v>
      </c>
      <c r="K14" s="28">
        <f>E14*G14*H14</f>
        <v>0</v>
      </c>
      <c r="M14" s="140" t="s">
        <v>95</v>
      </c>
      <c r="N14" s="144"/>
      <c r="O14" s="144" t="str">
        <f>LEFT($B$2)&amp;'EB1'!$C$21&amp;$I$2&amp;'EB1'!$D$2</f>
        <v>RSHECOA</v>
      </c>
      <c r="P14" s="144" t="str">
        <f>$D$2&amp;" "&amp;$C$2&amp; " Sector - "&amp;""&amp;$I$1&amp;" "&amp;'EB1'!$X$21&amp;" - "&amp;'EB1'!$D$3</f>
        <v>Demand Technologies Residential Sector - Existing Space Heating - Solid Fuels</v>
      </c>
      <c r="Q14" s="144" t="str">
        <f t="shared" ref="Q14:Q25" si="2">$E$2</f>
        <v>PJ</v>
      </c>
      <c r="R14" s="144" t="s">
        <v>121</v>
      </c>
      <c r="S14" s="144"/>
      <c r="T14" s="144"/>
      <c r="U14" s="144"/>
    </row>
    <row r="15" spans="2:21" x14ac:dyDescent="0.2">
      <c r="B15" t="str">
        <f t="shared" si="0"/>
        <v>RSHEGAS</v>
      </c>
      <c r="C15" t="str">
        <f t="shared" ref="C15:C25" si="3">$B$2&amp;RIGHT(B15,3)</f>
        <v>RSDGAS</v>
      </c>
      <c r="D15" t="str">
        <f t="shared" si="1"/>
        <v>DRSH</v>
      </c>
      <c r="E15" s="63">
        <f>'EB1'!$E$5*'EB1'!$E$21/(G15*H15)*1.01</f>
        <v>165.25212233637745</v>
      </c>
      <c r="F15" s="68">
        <v>0.9</v>
      </c>
      <c r="G15" s="68">
        <v>0.3</v>
      </c>
      <c r="H15" s="69">
        <v>31.536000000000001</v>
      </c>
      <c r="I15" s="41">
        <v>15</v>
      </c>
      <c r="K15" s="28">
        <f t="shared" ref="K15:K23" si="4">E15*G15*H15</f>
        <v>1563.4172789999998</v>
      </c>
      <c r="M15" s="144"/>
      <c r="N15" s="144"/>
      <c r="O15" s="144" t="str">
        <f>LEFT($B$2)&amp;'EB1'!$C$21&amp;$I$2&amp;'EB1'!$E$2</f>
        <v>RSHEGAS</v>
      </c>
      <c r="P15" s="144" t="str">
        <f>$D$2&amp;" "&amp;$C$2&amp; " Sector - "&amp;""&amp;$I$1&amp;" "&amp;'EB1'!$X$21&amp;" - "&amp;'EB1'!$E$3</f>
        <v>Demand Technologies Residential Sector - Existing Space Heating - Natural Gas</v>
      </c>
      <c r="Q15" s="144" t="str">
        <f t="shared" si="2"/>
        <v>PJ</v>
      </c>
      <c r="R15" s="144" t="s">
        <v>121</v>
      </c>
      <c r="S15" s="144"/>
      <c r="T15" s="144"/>
      <c r="U15" s="144"/>
    </row>
    <row r="16" spans="2:21" x14ac:dyDescent="0.2">
      <c r="B16" t="str">
        <f t="shared" si="0"/>
        <v>RSHEOIL</v>
      </c>
      <c r="C16" t="str">
        <f t="shared" si="3"/>
        <v>RSDOIL</v>
      </c>
      <c r="D16" t="str">
        <f t="shared" si="1"/>
        <v>DRSH</v>
      </c>
      <c r="E16" s="63">
        <f>SUM('EB1'!$G$5:$J$5,'EB1'!$L$5:$M$5)*'EB1'!$G$21/(G16*H16)*1.01</f>
        <v>91.648668585109078</v>
      </c>
      <c r="F16" s="68">
        <v>0.8</v>
      </c>
      <c r="G16" s="68">
        <v>0.3</v>
      </c>
      <c r="H16" s="69">
        <v>31.536000000000001</v>
      </c>
      <c r="I16" s="41">
        <v>15</v>
      </c>
      <c r="K16" s="28">
        <f t="shared" si="4"/>
        <v>867.06972374999998</v>
      </c>
      <c r="M16" s="144"/>
      <c r="N16" s="144"/>
      <c r="O16" s="144" t="str">
        <f>LEFT($B$2)&amp;'EB1'!$C$21&amp;$I$2&amp;'EB1'!$F$2</f>
        <v>RSHEOIL</v>
      </c>
      <c r="P16" s="144" t="str">
        <f>$D$2&amp;" "&amp;$C$2&amp; " Sector - "&amp;""&amp;$I$1&amp;" "&amp;'EB1'!$X$21&amp;" - "&amp;RIGHT('EB1'!$F$3,3)</f>
        <v>Demand Technologies Residential Sector - Existing Space Heating - Oil</v>
      </c>
      <c r="Q16" s="144" t="str">
        <f t="shared" si="2"/>
        <v>PJ</v>
      </c>
      <c r="R16" s="144" t="s">
        <v>121</v>
      </c>
      <c r="S16" s="144"/>
      <c r="T16" s="144"/>
      <c r="U16" s="144"/>
    </row>
    <row r="17" spans="2:21" x14ac:dyDescent="0.2">
      <c r="B17" t="str">
        <f t="shared" si="0"/>
        <v>RSHEBIO</v>
      </c>
      <c r="C17" t="str">
        <f>$B$2&amp;RIGHT(B17,3)</f>
        <v>RSDBIO</v>
      </c>
      <c r="D17" t="str">
        <f t="shared" si="1"/>
        <v>DRSH</v>
      </c>
      <c r="E17" s="63">
        <f>'EB1'!$O$5*'EB1'!$O$21/(G17*H17)*1.01</f>
        <v>86.034979309360722</v>
      </c>
      <c r="F17" s="68">
        <v>0.8</v>
      </c>
      <c r="G17" s="68">
        <v>0.3</v>
      </c>
      <c r="H17" s="69">
        <v>31.536000000000001</v>
      </c>
      <c r="I17" s="41">
        <v>15</v>
      </c>
      <c r="K17" s="28">
        <f t="shared" si="4"/>
        <v>813.95973225</v>
      </c>
      <c r="M17" s="144"/>
      <c r="N17" s="144"/>
      <c r="O17" s="144" t="str">
        <f>LEFT($B$2)&amp;'EB1'!$C$21&amp;$I$2&amp;'EB1'!$O$2</f>
        <v>RSHEBIO</v>
      </c>
      <c r="P17" s="144" t="str">
        <f>$D$2&amp;" "&amp;$C$2&amp; " Sector - "&amp;""&amp;$I$1&amp;" "&amp;'EB1'!$X$21&amp;" - "&amp;'EB1'!$O$3</f>
        <v>Demand Technologies Residential Sector - Existing Space Heating - Biomass</v>
      </c>
      <c r="Q17" s="144" t="str">
        <f t="shared" si="2"/>
        <v>PJ</v>
      </c>
      <c r="R17" s="144" t="s">
        <v>121</v>
      </c>
      <c r="S17" s="144"/>
      <c r="T17" s="144"/>
      <c r="U17" s="144"/>
    </row>
    <row r="18" spans="2:21" x14ac:dyDescent="0.2">
      <c r="B18" t="str">
        <f t="shared" si="0"/>
        <v>RSHESOL</v>
      </c>
      <c r="C18" t="str">
        <f>$B$2&amp;RIGHT(B18,3)</f>
        <v>RSDSOL</v>
      </c>
      <c r="D18" t="str">
        <f t="shared" si="1"/>
        <v>DRSH</v>
      </c>
      <c r="E18" s="63">
        <f>'EB1'!$R$5*'EB1'!$R$21/(G18*H18)*1.01</f>
        <v>5.337814983933705</v>
      </c>
      <c r="F18" s="68">
        <v>1</v>
      </c>
      <c r="G18" s="68">
        <v>0.3</v>
      </c>
      <c r="H18" s="69">
        <v>31.536000000000001</v>
      </c>
      <c r="I18" s="41">
        <v>15</v>
      </c>
      <c r="K18" s="28">
        <f>E18*G18*H18</f>
        <v>50.5</v>
      </c>
      <c r="M18" s="144"/>
      <c r="N18" s="144"/>
      <c r="O18" s="144" t="str">
        <f>LEFT($B$2)&amp;'EB1'!$C$21&amp;$I$2&amp;'EB1'!$R$2</f>
        <v>RSHESOL</v>
      </c>
      <c r="P18" s="144" t="str">
        <f>$D$2&amp;" "&amp;$C$2&amp; " Sector - "&amp;""&amp;$I$1&amp;" "&amp;'EB1'!$X$21&amp;" - "&amp;'EB1'!$R$3</f>
        <v>Demand Technologies Residential Sector - Existing Space Heating - Solar energy</v>
      </c>
      <c r="Q18" s="144" t="str">
        <f t="shared" si="2"/>
        <v>PJ</v>
      </c>
      <c r="R18" s="144" t="s">
        <v>121</v>
      </c>
      <c r="S18" s="144"/>
      <c r="T18" s="144"/>
      <c r="U18" s="144"/>
    </row>
    <row r="19" spans="2:21" x14ac:dyDescent="0.2">
      <c r="B19" s="5" t="str">
        <f t="shared" si="0"/>
        <v>RSHEELC</v>
      </c>
      <c r="C19" s="5" t="str">
        <f t="shared" si="3"/>
        <v>RSDELC</v>
      </c>
      <c r="D19" s="5" t="str">
        <f t="shared" si="1"/>
        <v>DRSH</v>
      </c>
      <c r="E19" s="79">
        <f>'EB1'!$U$5*'EB1'!$U$21/(G19*H19)*1.01</f>
        <v>15.328827477591748</v>
      </c>
      <c r="F19" s="111">
        <v>0.95</v>
      </c>
      <c r="G19" s="111">
        <v>0.3</v>
      </c>
      <c r="H19" s="112">
        <v>31.536000000000001</v>
      </c>
      <c r="I19" s="113">
        <v>15</v>
      </c>
      <c r="K19" s="114">
        <f t="shared" si="4"/>
        <v>145.02297100000001</v>
      </c>
      <c r="M19" s="144"/>
      <c r="N19" s="144"/>
      <c r="O19" s="144" t="str">
        <f>LEFT($B$2)&amp;'EB1'!$C$21&amp;$I$2&amp;'EB1'!$U$2</f>
        <v>RSHEELC</v>
      </c>
      <c r="P19" s="144" t="str">
        <f>$D$2&amp;" "&amp;$C$2&amp; " Sector - "&amp;""&amp;$I$1&amp;" "&amp;'EB1'!$X$21&amp;" - "&amp;'EB1'!$U$3</f>
        <v>Demand Technologies Residential Sector - Existing Space Heating - Electricity</v>
      </c>
      <c r="Q19" s="144" t="str">
        <f t="shared" si="2"/>
        <v>PJ</v>
      </c>
      <c r="R19" s="144" t="s">
        <v>121</v>
      </c>
      <c r="S19" s="144"/>
      <c r="T19" s="144"/>
      <c r="U19" s="144"/>
    </row>
    <row r="20" spans="2:21" x14ac:dyDescent="0.2">
      <c r="B20" s="115" t="str">
        <f t="shared" si="0"/>
        <v>RAPEELC</v>
      </c>
      <c r="C20" s="115" t="str">
        <f t="shared" si="3"/>
        <v>RSDELC</v>
      </c>
      <c r="D20" s="115" t="str">
        <f>$O$6</f>
        <v>DRAP</v>
      </c>
      <c r="E20" s="116">
        <f>'EB1'!$U$5*'EB1'!$U$22/(G20*H20)*1.01</f>
        <v>4350.6891300000007</v>
      </c>
      <c r="F20" s="117">
        <v>1</v>
      </c>
      <c r="G20" s="117">
        <v>0.3</v>
      </c>
      <c r="H20" s="131">
        <v>1</v>
      </c>
      <c r="I20" s="118">
        <v>5</v>
      </c>
      <c r="K20" s="119">
        <f t="shared" si="4"/>
        <v>1305.2067390000002</v>
      </c>
      <c r="M20" s="147"/>
      <c r="N20" s="147"/>
      <c r="O20" s="147" t="str">
        <f>LEFT($B$2)&amp;'EB1'!$C$22&amp;$I$2&amp;'EB1'!$U$2</f>
        <v>RAPEELC</v>
      </c>
      <c r="P20" s="147" t="str">
        <f>$D$2&amp;" "&amp;$C$2&amp; " Sector - "&amp;""&amp;$I$1&amp;" "&amp;'EB1'!$X$22&amp;" - "&amp;'EB1'!$U$3</f>
        <v>Demand Technologies Residential Sector - Existing Appliancens - Electricity</v>
      </c>
      <c r="Q20" s="147" t="str">
        <f t="shared" si="2"/>
        <v>PJ</v>
      </c>
      <c r="R20" s="147" t="str">
        <f t="shared" ref="R20:R25" si="5">$E$2&amp;"a"</f>
        <v>PJa</v>
      </c>
      <c r="S20" s="147"/>
      <c r="T20" s="147"/>
      <c r="U20" s="147"/>
    </row>
    <row r="21" spans="2:21" x14ac:dyDescent="0.2">
      <c r="B21" t="str">
        <f t="shared" si="0"/>
        <v>ROTECOA</v>
      </c>
      <c r="C21" t="str">
        <f t="shared" si="3"/>
        <v>RSDCOA</v>
      </c>
      <c r="D21" t="str">
        <f>$O$7</f>
        <v>DROT</v>
      </c>
      <c r="E21" s="63">
        <f>'EB1'!$D$5*'EB1'!$D$23/(G21*H21)*1.01</f>
        <v>780.26119166666672</v>
      </c>
      <c r="F21" s="68">
        <v>1</v>
      </c>
      <c r="G21" s="68">
        <v>0.3</v>
      </c>
      <c r="H21" s="132">
        <v>1</v>
      </c>
      <c r="I21" s="41">
        <v>10</v>
      </c>
      <c r="K21" s="28">
        <f t="shared" si="4"/>
        <v>234.07835750000001</v>
      </c>
      <c r="M21" s="144"/>
      <c r="N21" s="144"/>
      <c r="O21" s="144" t="str">
        <f>LEFT($B$2)&amp;'EB1'!$C$23&amp;$I$2&amp;'EB1'!$D$2</f>
        <v>ROTECOA</v>
      </c>
      <c r="P21" s="144" t="str">
        <f>$D$2&amp;" "&amp;$C$2&amp; " Sector - "&amp;""&amp;$I$1&amp;" "&amp;'EB1'!$X$23&amp;" - "&amp;'EB1'!$D$3</f>
        <v>Demand Technologies Residential Sector - Existing Other - Solid Fuels</v>
      </c>
      <c r="Q21" s="144" t="str">
        <f t="shared" si="2"/>
        <v>PJ</v>
      </c>
      <c r="R21" s="144" t="str">
        <f t="shared" si="5"/>
        <v>PJa</v>
      </c>
      <c r="S21" s="144"/>
      <c r="T21" s="144"/>
      <c r="U21" s="144"/>
    </row>
    <row r="22" spans="2:21" x14ac:dyDescent="0.2">
      <c r="B22" t="str">
        <f t="shared" si="0"/>
        <v>ROTEGAS</v>
      </c>
      <c r="C22" t="str">
        <f t="shared" si="3"/>
        <v>RSDGAS</v>
      </c>
      <c r="D22" t="str">
        <f>$O$7</f>
        <v>DROT</v>
      </c>
      <c r="E22" s="63">
        <f>'EB1'!$E$5*'EB1'!$E$23/(G22*H22)*1.01</f>
        <v>1737.13031</v>
      </c>
      <c r="F22" s="68">
        <v>1</v>
      </c>
      <c r="G22" s="68">
        <v>0.3</v>
      </c>
      <c r="H22" s="132">
        <v>1</v>
      </c>
      <c r="I22" s="41">
        <v>10</v>
      </c>
      <c r="K22" s="28">
        <f t="shared" si="4"/>
        <v>521.139093</v>
      </c>
      <c r="M22" s="144"/>
      <c r="N22" s="144"/>
      <c r="O22" s="144" t="str">
        <f>LEFT($B$2)&amp;'EB1'!$C$23&amp;$I$2&amp;'EB1'!$E$2</f>
        <v>ROTEGAS</v>
      </c>
      <c r="P22" s="144" t="str">
        <f>$D$2&amp;" "&amp;$C$2&amp; " Sector - "&amp;""&amp;$I$1&amp;" "&amp;'EB1'!$X$23&amp;" - "&amp;'EB1'!$E$3</f>
        <v>Demand Technologies Residential Sector - Existing Other - Natural Gas</v>
      </c>
      <c r="Q22" s="144" t="str">
        <f t="shared" si="2"/>
        <v>PJ</v>
      </c>
      <c r="R22" s="144" t="str">
        <f t="shared" si="5"/>
        <v>PJa</v>
      </c>
      <c r="S22" s="144"/>
      <c r="T22" s="144"/>
      <c r="U22" s="144"/>
    </row>
    <row r="23" spans="2:21" x14ac:dyDescent="0.2">
      <c r="B23" t="str">
        <f t="shared" si="0"/>
        <v>ROTEOIL</v>
      </c>
      <c r="C23" t="str">
        <f t="shared" si="3"/>
        <v>RSDOIL</v>
      </c>
      <c r="D23" t="str">
        <f>$O$7</f>
        <v>DROT</v>
      </c>
      <c r="E23" s="63">
        <f>SUM('EB1'!$G$5:$J$5,'EB1'!$L$5:$M$5)*'EB1'!$G$23/(G23*H23)*1.01</f>
        <v>963.41080416666671</v>
      </c>
      <c r="F23" s="68">
        <v>1</v>
      </c>
      <c r="G23" s="68">
        <v>0.3</v>
      </c>
      <c r="H23" s="132">
        <v>1</v>
      </c>
      <c r="I23" s="41">
        <v>10</v>
      </c>
      <c r="K23" s="28">
        <f t="shared" si="4"/>
        <v>289.02324125000001</v>
      </c>
      <c r="M23" s="144"/>
      <c r="N23" s="144"/>
      <c r="O23" s="144" t="str">
        <f>LEFT($B$2)&amp;'EB1'!$C$23&amp;$I$2&amp;'EB1'!$F$2</f>
        <v>ROTEOIL</v>
      </c>
      <c r="P23" s="144" t="str">
        <f>$D$2&amp;" "&amp;$C$2&amp; " Sector - "&amp;""&amp;$I$1&amp;" "&amp;'EB1'!$X$23&amp;" - "&amp;RIGHT('EB1'!$F$3,3)</f>
        <v>Demand Technologies Residential Sector - Existing Other - Oil</v>
      </c>
      <c r="Q23" s="144" t="str">
        <f t="shared" si="2"/>
        <v>PJ</v>
      </c>
      <c r="R23" s="144" t="str">
        <f t="shared" si="5"/>
        <v>PJa</v>
      </c>
      <c r="S23" s="144"/>
      <c r="T23" s="144"/>
      <c r="U23" s="144"/>
    </row>
    <row r="24" spans="2:21" x14ac:dyDescent="0.2">
      <c r="B24" t="str">
        <f t="shared" si="0"/>
        <v>ROTEBIO</v>
      </c>
      <c r="C24" t="str">
        <f>$B$2&amp;RIGHT(B24,3)</f>
        <v>RSDBIO</v>
      </c>
      <c r="D24" t="str">
        <f>$O$7</f>
        <v>DROT</v>
      </c>
      <c r="E24" s="63">
        <f>'EB1'!$O$5*'EB1'!$O$23/(G24*H24)*1.01</f>
        <v>301.46656749999994</v>
      </c>
      <c r="F24" s="68">
        <v>1</v>
      </c>
      <c r="G24" s="68">
        <v>0.3</v>
      </c>
      <c r="H24" s="132">
        <v>1</v>
      </c>
      <c r="I24" s="41">
        <v>10</v>
      </c>
      <c r="K24" s="28">
        <f>E24*G24*H24</f>
        <v>90.439970249999973</v>
      </c>
      <c r="M24" s="144"/>
      <c r="N24" s="144"/>
      <c r="O24" s="144" t="str">
        <f>LEFT($B$2)&amp;'EB1'!$C$23&amp;$I$2&amp;'EB1'!$O$2</f>
        <v>ROTEBIO</v>
      </c>
      <c r="P24" s="144" t="str">
        <f>$D$2&amp;" "&amp;$C$2&amp; " Sector - "&amp;""&amp;$I$1&amp;" "&amp;'EB1'!$X$23&amp;" - "&amp;'EB1'!$O$3</f>
        <v>Demand Technologies Residential Sector - Existing Other - Biomass</v>
      </c>
      <c r="Q24" s="144" t="str">
        <f t="shared" si="2"/>
        <v>PJ</v>
      </c>
      <c r="R24" s="144" t="str">
        <f t="shared" si="5"/>
        <v>PJa</v>
      </c>
      <c r="S24" s="144"/>
      <c r="T24" s="144"/>
      <c r="U24" s="144"/>
    </row>
    <row r="25" spans="2:21" x14ac:dyDescent="0.2">
      <c r="B25" t="str">
        <f t="shared" si="0"/>
        <v>ROTEELC</v>
      </c>
      <c r="C25" t="str">
        <f t="shared" si="3"/>
        <v>RSDELC</v>
      </c>
      <c r="D25" t="str">
        <f>$O$7</f>
        <v>DROT</v>
      </c>
      <c r="E25" s="63">
        <f>'EB1'!$U$5*'EB1'!$U$23/(G25*H25)*1.01</f>
        <v>0</v>
      </c>
      <c r="F25" s="68">
        <v>1</v>
      </c>
      <c r="G25" s="68">
        <v>0.3</v>
      </c>
      <c r="H25" s="132">
        <v>1</v>
      </c>
      <c r="I25" s="41">
        <v>10</v>
      </c>
      <c r="K25" s="28">
        <f>E25*G25*H25</f>
        <v>0</v>
      </c>
      <c r="M25" s="144"/>
      <c r="N25" s="144"/>
      <c r="O25" s="144" t="str">
        <f>LEFT($B$2)&amp;'EB1'!$C$23&amp;$I$2&amp;'EB1'!$U$2</f>
        <v>ROTEELC</v>
      </c>
      <c r="P25" s="144" t="str">
        <f>$D$2&amp;" "&amp;$C$2&amp; " Sector - "&amp;""&amp;$I$1&amp;" "&amp;'EB1'!$X$23&amp;" - "&amp;'EB1'!$U$3</f>
        <v>Demand Technologies Residential Sector - Existing Other - Electricity</v>
      </c>
      <c r="Q25" s="144" t="str">
        <f t="shared" si="2"/>
        <v>PJ</v>
      </c>
      <c r="R25" s="144" t="str">
        <f t="shared" si="5"/>
        <v>PJa</v>
      </c>
      <c r="S25" s="144"/>
      <c r="T25" s="144"/>
      <c r="U25" s="144"/>
    </row>
    <row r="26" spans="2:21" x14ac:dyDescent="0.2">
      <c r="E26" s="6"/>
      <c r="F26" s="16"/>
      <c r="G26" s="16"/>
      <c r="H26" s="16"/>
    </row>
    <row r="27" spans="2:21" x14ac:dyDescent="0.2">
      <c r="E27" s="6"/>
      <c r="F27" s="16"/>
      <c r="G27" s="16"/>
      <c r="H27" s="16"/>
      <c r="P27" s="19"/>
    </row>
    <row r="28" spans="2:21" x14ac:dyDescent="0.2">
      <c r="E28" s="6"/>
      <c r="F28" s="16"/>
      <c r="G28" s="16"/>
      <c r="H28" s="16"/>
      <c r="P28" s="19"/>
    </row>
    <row r="29" spans="2:21" x14ac:dyDescent="0.2">
      <c r="E29" s="6"/>
      <c r="F29" s="16"/>
      <c r="G29" s="16"/>
      <c r="H29" s="16"/>
      <c r="P29" s="19"/>
    </row>
    <row r="31" spans="2:21" x14ac:dyDescent="0.2">
      <c r="G31" s="1"/>
    </row>
    <row r="32" spans="2:21" x14ac:dyDescent="0.2">
      <c r="G32" s="1"/>
    </row>
    <row r="37" spans="2:12" x14ac:dyDescent="0.2">
      <c r="B37" s="41"/>
      <c r="C37" s="1" t="s">
        <v>156</v>
      </c>
    </row>
    <row r="38" spans="2:12" x14ac:dyDescent="0.2">
      <c r="B38" s="64"/>
      <c r="C38" s="1" t="s">
        <v>157</v>
      </c>
    </row>
    <row r="39" spans="2:12" x14ac:dyDescent="0.2">
      <c r="J39" s="1"/>
      <c r="K39" s="1"/>
      <c r="L39" s="1"/>
    </row>
    <row r="40" spans="2:12" x14ac:dyDescent="0.2">
      <c r="J40" s="1"/>
      <c r="K40" s="1"/>
      <c r="L40" s="1"/>
    </row>
    <row r="41" spans="2:12" x14ac:dyDescent="0.2">
      <c r="J41" s="1"/>
      <c r="K41" s="1"/>
      <c r="L41" s="1"/>
    </row>
    <row r="42" spans="2:12" x14ac:dyDescent="0.2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workbookViewId="0">
      <selection activeCell="E16" sqref="E16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1.42578125" bestFit="1" customWidth="1"/>
    <col min="8" max="8" width="13.5703125" customWidth="1"/>
    <col min="9" max="9" width="5" bestFit="1" customWidth="1"/>
  </cols>
  <sheetData>
    <row r="1" spans="2:11" ht="15" x14ac:dyDescent="0.25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75" x14ac:dyDescent="0.25">
      <c r="B2" s="9" t="s">
        <v>83</v>
      </c>
      <c r="C2" s="9"/>
      <c r="D2" s="9"/>
      <c r="E2" s="9" t="str">
        <f>'EB1'!Z2</f>
        <v>PJ</v>
      </c>
    </row>
    <row r="5" spans="2:11" x14ac:dyDescent="0.2">
      <c r="C5" s="3" t="s">
        <v>13</v>
      </c>
      <c r="D5" s="3"/>
      <c r="E5" s="1"/>
      <c r="I5" s="3" t="s">
        <v>13</v>
      </c>
      <c r="J5" s="1"/>
    </row>
    <row r="6" spans="2:11" x14ac:dyDescent="0.2">
      <c r="B6" s="2" t="s">
        <v>80</v>
      </c>
      <c r="C6" s="2" t="s">
        <v>0</v>
      </c>
      <c r="D6" s="2" t="s">
        <v>149</v>
      </c>
      <c r="E6" s="78">
        <v>2005</v>
      </c>
      <c r="G6" s="2" t="s">
        <v>80</v>
      </c>
      <c r="H6" s="2" t="s">
        <v>0</v>
      </c>
      <c r="I6" s="2" t="s">
        <v>124</v>
      </c>
      <c r="J6" s="2">
        <v>2005</v>
      </c>
    </row>
    <row r="7" spans="2:11" ht="22.5" x14ac:dyDescent="0.2">
      <c r="B7" s="15" t="s">
        <v>81</v>
      </c>
      <c r="C7" s="15" t="s">
        <v>82</v>
      </c>
      <c r="D7" s="15" t="s">
        <v>150</v>
      </c>
      <c r="E7" s="75" t="s">
        <v>36</v>
      </c>
      <c r="G7" s="15" t="s">
        <v>81</v>
      </c>
      <c r="H7" s="15" t="s">
        <v>82</v>
      </c>
      <c r="I7" s="15"/>
      <c r="J7" s="15"/>
    </row>
    <row r="8" spans="2:11" ht="13.5" thickBot="1" x14ac:dyDescent="0.2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4"/>
    </row>
    <row r="9" spans="2:11" x14ac:dyDescent="0.2">
      <c r="B9" s="25" t="s">
        <v>35</v>
      </c>
      <c r="C9" s="1" t="str">
        <f>DemTechs_RSD!$O$5</f>
        <v>DRSH</v>
      </c>
      <c r="D9" s="25" t="s">
        <v>76</v>
      </c>
      <c r="E9" s="123">
        <f>SUM(DemTechs_RSD!K14:K19)</f>
        <v>3439.9697059999994</v>
      </c>
      <c r="G9" s="1" t="s">
        <v>125</v>
      </c>
      <c r="H9" s="1" t="str">
        <f>DemTechs_RSD!$O$5</f>
        <v>DRSH</v>
      </c>
      <c r="I9" s="23" t="s">
        <v>126</v>
      </c>
      <c r="J9" s="65">
        <v>0</v>
      </c>
    </row>
    <row r="10" spans="2:11" x14ac:dyDescent="0.2">
      <c r="B10" t="s">
        <v>35</v>
      </c>
      <c r="C10" s="1" t="str">
        <f>DemTechs_RSD!$O$6</f>
        <v>DRAP</v>
      </c>
      <c r="D10" s="1" t="s">
        <v>76</v>
      </c>
      <c r="E10" s="123">
        <f>SUM(DemTechs_RSD!K20)</f>
        <v>1305.2067390000002</v>
      </c>
      <c r="G10" s="1" t="s">
        <v>125</v>
      </c>
      <c r="H10" s="1" t="str">
        <f>DemTechs_RSD!$O$5</f>
        <v>DRSH</v>
      </c>
      <c r="I10" s="23" t="s">
        <v>127</v>
      </c>
      <c r="J10" s="65">
        <v>0</v>
      </c>
    </row>
    <row r="11" spans="2:11" x14ac:dyDescent="0.2">
      <c r="B11" s="5" t="s">
        <v>35</v>
      </c>
      <c r="C11" s="26" t="str">
        <f>DemTechs_RSD!$O$7</f>
        <v>DROT</v>
      </c>
      <c r="D11" s="26" t="s">
        <v>76</v>
      </c>
      <c r="E11" s="124">
        <f>SUM(DemTechs_RSD!K21:K25)</f>
        <v>1134.680662</v>
      </c>
      <c r="G11" s="1" t="s">
        <v>125</v>
      </c>
      <c r="H11" s="1" t="str">
        <f>DemTechs_RSD!$O$5</f>
        <v>DRSH</v>
      </c>
      <c r="I11" s="23" t="s">
        <v>128</v>
      </c>
      <c r="J11" s="65">
        <f>1-J9-J10-J12</f>
        <v>0.6</v>
      </c>
    </row>
    <row r="12" spans="2:11" x14ac:dyDescent="0.2">
      <c r="B12" s="1" t="s">
        <v>35</v>
      </c>
      <c r="C12" s="1" t="str">
        <f>DemTechs_COM!$O$5</f>
        <v>DCSH</v>
      </c>
      <c r="D12" s="1" t="s">
        <v>76</v>
      </c>
      <c r="E12" s="123">
        <f>SUM(DemTechs_COM!K14:K19)</f>
        <v>904.4072017499999</v>
      </c>
      <c r="G12" s="26" t="s">
        <v>125</v>
      </c>
      <c r="H12" s="26" t="str">
        <f>DemTechs_RSD!$O$5</f>
        <v>DRSH</v>
      </c>
      <c r="I12" s="27" t="s">
        <v>129</v>
      </c>
      <c r="J12" s="70">
        <v>0.4</v>
      </c>
    </row>
    <row r="13" spans="2:11" x14ac:dyDescent="0.2">
      <c r="B13" t="s">
        <v>35</v>
      </c>
      <c r="C13" s="1" t="str">
        <f>DemTechs_COM!$O$6</f>
        <v>DCAP</v>
      </c>
      <c r="D13" s="1" t="s">
        <v>76</v>
      </c>
      <c r="E13" s="123">
        <f>SUM(DemTechs_COM!K20)</f>
        <v>1148.6992095000001</v>
      </c>
      <c r="G13" s="1" t="s">
        <v>125</v>
      </c>
      <c r="H13" s="1" t="str">
        <f>DemTechs_RSD!$O$6</f>
        <v>DRAP</v>
      </c>
      <c r="I13" s="23" t="s">
        <v>126</v>
      </c>
      <c r="J13" s="65">
        <v>0.3</v>
      </c>
    </row>
    <row r="14" spans="2:11" x14ac:dyDescent="0.2">
      <c r="B14" s="5" t="s">
        <v>35</v>
      </c>
      <c r="C14" s="26" t="str">
        <f>DemTechs_COM!$O$7</f>
        <v>DCOT</v>
      </c>
      <c r="D14" s="26" t="s">
        <v>76</v>
      </c>
      <c r="E14" s="124">
        <f>SUM(DemTechs_COM!K21:K25)</f>
        <v>446.94027625000001</v>
      </c>
      <c r="G14" s="1" t="s">
        <v>125</v>
      </c>
      <c r="H14" s="1" t="str">
        <f>DemTechs_RSD!$O$6</f>
        <v>DRAP</v>
      </c>
      <c r="I14" s="23" t="s">
        <v>127</v>
      </c>
      <c r="J14" s="65">
        <v>0.25</v>
      </c>
    </row>
    <row r="15" spans="2:11" x14ac:dyDescent="0.2">
      <c r="B15" s="5" t="s">
        <v>35</v>
      </c>
      <c r="C15" s="26" t="str">
        <f>DemTechs_AGR!N5</f>
        <v>DAOT</v>
      </c>
      <c r="D15" s="26" t="s">
        <v>76</v>
      </c>
      <c r="E15" s="125">
        <f>SUM('EB1'!D8:E8,'EB1'!G8:J8,'EB1'!L8:M8,'EB1'!O8,'EB1'!U8)</f>
        <v>564.84090000000003</v>
      </c>
      <c r="G15" s="1" t="s">
        <v>125</v>
      </c>
      <c r="H15" s="1" t="str">
        <f>DemTechs_RSD!$O$6</f>
        <v>DRAP</v>
      </c>
      <c r="I15" s="23" t="s">
        <v>128</v>
      </c>
      <c r="J15" s="65">
        <v>0.2</v>
      </c>
      <c r="K15" s="16"/>
    </row>
    <row r="16" spans="2:11" x14ac:dyDescent="0.2">
      <c r="G16" s="26" t="s">
        <v>125</v>
      </c>
      <c r="H16" s="26" t="str">
        <f>DemTechs_RSD!$O$6</f>
        <v>DRAP</v>
      </c>
      <c r="I16" s="27" t="s">
        <v>129</v>
      </c>
      <c r="J16" s="70">
        <v>0.2</v>
      </c>
    </row>
    <row r="17" spans="2:10" x14ac:dyDescent="0.2">
      <c r="E17" s="6"/>
      <c r="G17" s="1" t="s">
        <v>125</v>
      </c>
      <c r="H17" s="1" t="str">
        <f>DemTechs_RSD!$O$7</f>
        <v>DROT</v>
      </c>
      <c r="I17" s="23" t="s">
        <v>126</v>
      </c>
      <c r="J17" s="65">
        <v>0.25</v>
      </c>
    </row>
    <row r="18" spans="2:10" x14ac:dyDescent="0.2">
      <c r="G18" s="1" t="s">
        <v>125</v>
      </c>
      <c r="H18" s="1" t="str">
        <f>DemTechs_RSD!$O$7</f>
        <v>DROT</v>
      </c>
      <c r="I18" s="23" t="s">
        <v>127</v>
      </c>
      <c r="J18" s="65">
        <v>0.25</v>
      </c>
    </row>
    <row r="19" spans="2:10" x14ac:dyDescent="0.2">
      <c r="G19" s="1" t="s">
        <v>125</v>
      </c>
      <c r="H19" s="1" t="str">
        <f>DemTechs_RSD!$O$7</f>
        <v>DROT</v>
      </c>
      <c r="I19" s="23" t="s">
        <v>128</v>
      </c>
      <c r="J19" s="65">
        <v>0.25</v>
      </c>
    </row>
    <row r="20" spans="2:10" x14ac:dyDescent="0.2">
      <c r="G20" s="26" t="s">
        <v>125</v>
      </c>
      <c r="H20" s="26" t="str">
        <f>DemTechs_RSD!$O$7</f>
        <v>DROT</v>
      </c>
      <c r="I20" s="27" t="s">
        <v>129</v>
      </c>
      <c r="J20" s="70">
        <v>0.25</v>
      </c>
    </row>
    <row r="21" spans="2:10" x14ac:dyDescent="0.2">
      <c r="G21" s="1" t="s">
        <v>125</v>
      </c>
      <c r="H21" s="1" t="str">
        <f>DemTechs_COM!$O$5</f>
        <v>DCSH</v>
      </c>
      <c r="I21" s="23" t="s">
        <v>126</v>
      </c>
      <c r="J21" s="65">
        <v>0.1</v>
      </c>
    </row>
    <row r="22" spans="2:10" x14ac:dyDescent="0.2">
      <c r="G22" s="1" t="s">
        <v>125</v>
      </c>
      <c r="H22" s="1" t="str">
        <f>DemTechs_COM!$O$5</f>
        <v>DCSH</v>
      </c>
      <c r="I22" s="23" t="s">
        <v>127</v>
      </c>
      <c r="J22" s="65">
        <v>0.1</v>
      </c>
    </row>
    <row r="23" spans="2:10" x14ac:dyDescent="0.2">
      <c r="G23" s="1" t="s">
        <v>125</v>
      </c>
      <c r="H23" s="1" t="str">
        <f>DemTechs_COM!$O$5</f>
        <v>DCSH</v>
      </c>
      <c r="I23" s="23" t="s">
        <v>128</v>
      </c>
      <c r="J23" s="65">
        <f>1-J21-J22-J24</f>
        <v>0.4</v>
      </c>
    </row>
    <row r="24" spans="2:10" x14ac:dyDescent="0.2">
      <c r="G24" s="26" t="s">
        <v>125</v>
      </c>
      <c r="H24" s="26" t="str">
        <f>DemTechs_COM!$O$5</f>
        <v>DCSH</v>
      </c>
      <c r="I24" s="27" t="s">
        <v>129</v>
      </c>
      <c r="J24" s="70">
        <v>0.4</v>
      </c>
    </row>
    <row r="25" spans="2:10" x14ac:dyDescent="0.2">
      <c r="G25" s="1" t="s">
        <v>125</v>
      </c>
      <c r="H25" s="1" t="str">
        <f>DemTechs_COM!$O$6</f>
        <v>DCAP</v>
      </c>
      <c r="I25" s="23" t="s">
        <v>126</v>
      </c>
      <c r="J25" s="65">
        <v>0.25</v>
      </c>
    </row>
    <row r="26" spans="2:10" x14ac:dyDescent="0.2">
      <c r="G26" s="1" t="s">
        <v>125</v>
      </c>
      <c r="H26" s="1" t="str">
        <f>DemTechs_COM!$O$6</f>
        <v>DCAP</v>
      </c>
      <c r="I26" s="23" t="s">
        <v>127</v>
      </c>
      <c r="J26" s="65">
        <v>0.25</v>
      </c>
    </row>
    <row r="27" spans="2:10" x14ac:dyDescent="0.2">
      <c r="G27" s="1" t="s">
        <v>125</v>
      </c>
      <c r="H27" s="1" t="str">
        <f>DemTechs_COM!$O$6</f>
        <v>DCAP</v>
      </c>
      <c r="I27" s="23" t="s">
        <v>128</v>
      </c>
      <c r="J27" s="65">
        <v>0.25</v>
      </c>
    </row>
    <row r="28" spans="2:10" x14ac:dyDescent="0.2">
      <c r="G28" s="26" t="s">
        <v>125</v>
      </c>
      <c r="H28" s="26" t="str">
        <f>DemTechs_COM!$O$6</f>
        <v>DCAP</v>
      </c>
      <c r="I28" s="27" t="s">
        <v>129</v>
      </c>
      <c r="J28" s="70">
        <v>0.25</v>
      </c>
    </row>
    <row r="29" spans="2:10" x14ac:dyDescent="0.2">
      <c r="G29" s="1" t="s">
        <v>125</v>
      </c>
      <c r="H29" s="1" t="str">
        <f>DemTechs_COM!$O$7</f>
        <v>DCOT</v>
      </c>
      <c r="I29" s="23" t="s">
        <v>126</v>
      </c>
      <c r="J29" s="65">
        <v>0.25</v>
      </c>
    </row>
    <row r="30" spans="2:10" x14ac:dyDescent="0.2">
      <c r="B30" s="41"/>
      <c r="C30" s="1" t="s">
        <v>156</v>
      </c>
      <c r="G30" s="1" t="s">
        <v>125</v>
      </c>
      <c r="H30" s="1" t="str">
        <f>DemTechs_COM!$O$7</f>
        <v>DCOT</v>
      </c>
      <c r="I30" s="23" t="s">
        <v>127</v>
      </c>
      <c r="J30" s="65">
        <v>0.25</v>
      </c>
    </row>
    <row r="31" spans="2:10" x14ac:dyDescent="0.2">
      <c r="B31" s="64"/>
      <c r="C31" s="1" t="s">
        <v>157</v>
      </c>
      <c r="G31" s="1" t="s">
        <v>125</v>
      </c>
      <c r="H31" s="1" t="str">
        <f>DemTechs_COM!$O$7</f>
        <v>DCOT</v>
      </c>
      <c r="I31" s="23" t="s">
        <v>128</v>
      </c>
      <c r="J31" s="65">
        <v>0.25</v>
      </c>
    </row>
    <row r="32" spans="2:10" x14ac:dyDescent="0.2">
      <c r="G32" s="1" t="s">
        <v>125</v>
      </c>
      <c r="H32" s="1" t="str">
        <f>DemTechs_COM!$O$7</f>
        <v>DCOT</v>
      </c>
      <c r="I32" s="23" t="s">
        <v>129</v>
      </c>
      <c r="J32" s="65">
        <v>0.25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24"/>
  <sheetViews>
    <sheetView workbookViewId="0">
      <selection activeCell="M18" sqref="M18"/>
    </sheetView>
  </sheetViews>
  <sheetFormatPr defaultRowHeight="12.75" x14ac:dyDescent="0.2"/>
  <cols>
    <col min="2" max="2" width="14.42578125" customWidth="1"/>
    <col min="4" max="4" width="8.85546875" bestFit="1" customWidth="1"/>
    <col min="7" max="7" width="12.140625" bestFit="1" customWidth="1"/>
    <col min="8" max="9" width="9.28515625" bestFit="1" customWidth="1"/>
    <col min="10" max="10" width="8.42578125" bestFit="1" customWidth="1"/>
    <col min="12" max="12" width="12.140625" bestFit="1" customWidth="1"/>
    <col min="13" max="14" width="9" bestFit="1" customWidth="1"/>
    <col min="15" max="15" width="8.140625" bestFit="1" customWidth="1"/>
  </cols>
  <sheetData>
    <row r="3" spans="2:15" ht="17.45" customHeight="1" x14ac:dyDescent="0.25">
      <c r="B3" s="31" t="s">
        <v>162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2:15" ht="17.45" customHeight="1" x14ac:dyDescent="0.25">
      <c r="B4" s="32"/>
      <c r="C4" s="32"/>
      <c r="D4" s="32"/>
      <c r="E4" s="32"/>
      <c r="F4" s="32"/>
      <c r="G4" s="32"/>
    </row>
    <row r="5" spans="2:15" x14ac:dyDescent="0.2">
      <c r="B5" s="30" t="s">
        <v>148</v>
      </c>
      <c r="G5" s="30" t="s">
        <v>148</v>
      </c>
      <c r="L5" s="30" t="s">
        <v>148</v>
      </c>
    </row>
    <row r="6" spans="2:15" ht="13.5" thickBot="1" x14ac:dyDescent="0.25">
      <c r="B6" s="33" t="s">
        <v>0</v>
      </c>
      <c r="C6" s="122" t="str">
        <f>Sector_Fuels_AGR!$L$5</f>
        <v>AGRCOA</v>
      </c>
      <c r="D6" s="122" t="str">
        <f>Sector_Fuels_AGR!$L$6</f>
        <v>AGRGAS</v>
      </c>
      <c r="E6" s="122" t="str">
        <f>Sector_Fuels_AGR!$L$7</f>
        <v>AGROIL</v>
      </c>
      <c r="F6" s="1"/>
      <c r="G6" s="33" t="s">
        <v>0</v>
      </c>
      <c r="H6" s="122" t="str">
        <f>Sector_Fuels_COM!$L$5</f>
        <v>COMCOA</v>
      </c>
      <c r="I6" s="122" t="str">
        <f>Sector_Fuels_COM!$L$6</f>
        <v>COMGAS</v>
      </c>
      <c r="J6" s="122" t="str">
        <f>Sector_Fuels_COM!$L$7</f>
        <v>COMOIL</v>
      </c>
      <c r="L6" s="33" t="s">
        <v>0</v>
      </c>
      <c r="M6" s="122" t="str">
        <f>Sector_Fuels_RSD!$L$5</f>
        <v>RSDCOA</v>
      </c>
      <c r="N6" s="122" t="str">
        <f>Sector_Fuels_RSD!$L$6</f>
        <v>RSDGAS</v>
      </c>
      <c r="O6" s="122" t="str">
        <f>Sector_Fuels_RSD!$L$7</f>
        <v>RSDOIL</v>
      </c>
    </row>
    <row r="7" spans="2:15" ht="13.5" thickBot="1" x14ac:dyDescent="0.25">
      <c r="B7" s="14" t="s">
        <v>90</v>
      </c>
      <c r="C7" s="14" t="s">
        <v>155</v>
      </c>
      <c r="D7" s="14" t="s">
        <v>155</v>
      </c>
      <c r="E7" s="14" t="s">
        <v>155</v>
      </c>
      <c r="F7" s="1"/>
      <c r="G7" s="14" t="s">
        <v>90</v>
      </c>
      <c r="H7" s="14" t="s">
        <v>155</v>
      </c>
      <c r="I7" s="14" t="s">
        <v>155</v>
      </c>
      <c r="J7" s="14" t="s">
        <v>155</v>
      </c>
      <c r="L7" s="14" t="s">
        <v>90</v>
      </c>
      <c r="M7" s="14" t="s">
        <v>155</v>
      </c>
      <c r="N7" s="14" t="s">
        <v>155</v>
      </c>
      <c r="O7" s="14" t="s">
        <v>155</v>
      </c>
    </row>
    <row r="8" spans="2:15" x14ac:dyDescent="0.2">
      <c r="B8" t="str">
        <f>DemTechs_AGR!$N6</f>
        <v>AGRCO2</v>
      </c>
      <c r="C8" s="68">
        <v>95</v>
      </c>
      <c r="D8" s="68">
        <v>56.1</v>
      </c>
      <c r="E8" s="68">
        <v>76.400000000000006</v>
      </c>
      <c r="F8" s="1"/>
      <c r="G8" t="str">
        <f>DemTechs_COM!$O$8</f>
        <v>COMCO2</v>
      </c>
      <c r="H8" s="68">
        <v>95</v>
      </c>
      <c r="I8" s="68">
        <v>56.1</v>
      </c>
      <c r="J8" s="68">
        <v>76.400000000000006</v>
      </c>
      <c r="L8" t="str">
        <f>DemTechs_RSD!$O$8</f>
        <v>RSDCO2</v>
      </c>
      <c r="M8" s="68">
        <v>95</v>
      </c>
      <c r="N8" s="68">
        <v>56.1</v>
      </c>
      <c r="O8" s="68">
        <v>76.400000000000006</v>
      </c>
    </row>
    <row r="23" spans="2:3" x14ac:dyDescent="0.2">
      <c r="B23" s="41"/>
      <c r="C23" s="1" t="s">
        <v>156</v>
      </c>
    </row>
    <row r="24" spans="2:3" x14ac:dyDescent="0.2">
      <c r="B24" s="64"/>
      <c r="C24" s="1" t="s">
        <v>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2026-08-21T07:30:51Z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