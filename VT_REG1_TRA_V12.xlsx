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drawings/drawing1.xml" ContentType="application/vnd.openxmlformats-officedocument.drawing+xml"/>
  <Default Extension="vml" ContentType="application/vnd.openxmlformats-officedocument.vmlDrawing"/>
  <Override PartName="/xl/worksheets/sheet1.xml" ContentType="application/vnd.openxmlformats-officedocument.spreadsheetml.worksheet+xml"/>
  <Override PartName="/xl/drawings/drawing2.xml" ContentType="application/vnd.openxmlformats-officedocument.drawing+xml"/>
  <Default Extension="bin" ContentType="application/vnd.openxmlformats-officedocument.spreadsheetml.printerSettings"/>
  <Override PartName="/xl/worksheets/sheet2.xml" ContentType="application/vnd.openxmlformats-officedocument.spreadsheetml.worksheet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worksheets/sheet3.xml" ContentType="application/vnd.openxmlformats-officedocument.spreadsheetml.worksheet+xml"/>
  <Override PartName="/xl/comments4.xml" ContentType="application/vnd.openxmlformats-officedocument.spreadsheetml.comments+xml"/>
  <Override PartName="/xl/drawings/drawing4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5.xml" ContentType="application/vnd.openxmlformats-officedocument.spreadsheetml.worksheet+xml"/>
  <Override PartName="/xl/drawings/drawing6.xml" ContentType="application/vnd.openxmlformats-officedocument.drawing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GitHub\veda-testing-model-private\"/>
    </mc:Choice>
  </mc:AlternateContent>
  <bookViews>
    <workbookView xWindow="28680" yWindow="-120" windowWidth="29040" windowHeight="15720" tabRatio="901" activeTab="5"/>
  </bookViews>
  <sheets>
    <sheet name="EB1" sheetId="133" r:id="rId3"/>
    <sheet name="RES_TRA" sheetId="135" r:id="rId4"/>
    <sheet name="Sector_Fuels_TRA" sheetId="152" r:id="rId5"/>
    <sheet name="DemTechs_TRA" sheetId="141" r:id="rId6"/>
    <sheet name="Demands" sheetId="134" r:id="rId7"/>
    <sheet name="Emi" sheetId="149" r:id="rId8"/>
  </sheets>
  <externalReferences>
    <externalReference r:id="rId10"/>
    <externalReference r:id="rId11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4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8" authorId="0" shapeId="0" xr:uid="{00000000-0006-0000-0000-000001000000}">
      <text>
        <r>
          <rPr>
            <sz val="9"/>
            <rFont val="Tahoma"/>
            <family val="2"/>
          </rPr>
          <t>Includes fisheries consumption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 shapeId="0" xr:uid="{00000000-0006-0000-0200-000001000000}">
      <text>
        <r>
          <rPr>
            <sz val="8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rFont val="Tahoma"/>
            <family val="2"/>
          </rPr>
          <t>NRG</t>
        </r>
        <r>
          <rPr>
            <sz val="8"/>
            <rFont val="Tahoma"/>
            <family val="2"/>
          </rPr>
          <t xml:space="preserve"> (Energy)
</t>
        </r>
        <r>
          <rPr>
            <b/>
            <sz val="8"/>
            <rFont val="Tahoma"/>
            <family val="2"/>
          </rPr>
          <t>ENV</t>
        </r>
        <r>
          <rPr>
            <sz val="8"/>
            <rFont val="Tahoma"/>
            <family val="2"/>
          </rPr>
          <t xml:space="preserve"> (Emission)
</t>
        </r>
        <r>
          <rPr>
            <b/>
            <sz val="8"/>
            <rFont val="Tahoma"/>
            <family val="2"/>
          </rPr>
          <t>DEM</t>
        </r>
        <r>
          <rPr>
            <sz val="8"/>
            <rFont val="Tahoma"/>
            <family val="2"/>
          </rPr>
          <t xml:space="preserve"> (Demand)
</t>
        </r>
        <r>
          <rPr>
            <b/>
            <sz val="8"/>
            <rFont val="Tahoma"/>
            <family val="2"/>
          </rPr>
          <t>MAT</t>
        </r>
        <r>
          <rPr>
            <sz val="8"/>
            <rFont val="Tahoma"/>
            <family val="2"/>
          </rPr>
          <t xml:space="preserve"> (Material)
</t>
        </r>
        <r>
          <rPr>
            <b/>
            <sz val="8"/>
            <rFont val="Tahoma"/>
            <family val="2"/>
          </rPr>
          <t>FIN</t>
        </r>
        <r>
          <rPr>
            <sz val="8"/>
            <rFont val="Tahoma"/>
            <family val="2"/>
          </rPr>
          <t xml:space="preserve"> (Financial)</t>
        </r>
      </text>
    </comment>
    <comment ref="O3" authorId="1" shapeId="0" xr:uid="{00000000-0006-0000-0200-00000200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 shapeId="0" xr:uid="{00000000-0006-0000-0200-000003000000}">
      <text>
        <r>
          <rPr>
            <sz val="8"/>
            <rFont val="Tahoma"/>
            <family val="2"/>
          </rPr>
          <t>Allowed CTSLvl</t>
        </r>
        <r>
          <rPr>
            <b/>
            <sz val="8"/>
            <rFont val="Tahoma"/>
            <family val="2"/>
          </rPr>
          <t xml:space="preserve">
SEASON</t>
        </r>
        <r>
          <rPr>
            <sz val="8"/>
            <rFont val="Tahoma"/>
            <family val="2"/>
          </rPr>
          <t xml:space="preserve"> (Seasonal level)</t>
        </r>
        <r>
          <rPr>
            <b/>
            <sz val="8"/>
            <rFont val="Tahoma"/>
            <family val="2"/>
          </rPr>
          <t xml:space="preserve">
WEEKLY</t>
        </r>
        <r>
          <rPr>
            <sz val="8"/>
            <rFont val="Tahoma"/>
            <family val="2"/>
          </rPr>
          <t xml:space="preserve"> (Weekly level)</t>
        </r>
        <r>
          <rPr>
            <b/>
            <sz val="8"/>
            <rFont val="Tahoma"/>
            <family val="2"/>
          </rPr>
          <t xml:space="preserve">
DAYNITE</t>
        </r>
        <r>
          <rPr>
            <sz val="8"/>
            <rFont val="Tahoma"/>
            <family val="2"/>
          </rPr>
          <t xml:space="preserve"> (day and night level)</t>
        </r>
      </text>
    </comment>
    <comment ref="Q3" authorId="2" shapeId="0" xr:uid="{00000000-0006-0000-0200-000004000000}">
      <text>
        <r>
          <rPr>
            <sz val="8"/>
            <rFont val="Tahoma"/>
            <family val="2"/>
          </rPr>
          <t>Allowed PeakTS</t>
        </r>
        <r>
          <rPr>
            <b/>
            <sz val="8"/>
            <rFont val="Tahoma"/>
            <family val="2"/>
          </rPr>
          <t xml:space="preserve">
ANNUAL </t>
        </r>
        <r>
          <rPr>
            <sz val="8"/>
            <rFont val="Tahoma"/>
            <family val="2"/>
          </rPr>
          <t>(to generate Peak Equation for all the TimeSlices)</t>
        </r>
        <r>
          <rPr>
            <b/>
            <sz val="8"/>
            <rFont val="Tahoma"/>
            <family val="2"/>
          </rPr>
          <t xml:space="preserve">
User TS </t>
        </r>
        <r>
          <rPr>
            <sz val="8"/>
            <rFont val="Tahoma"/>
            <family val="2"/>
          </rPr>
          <t>(to generate Peak Equation for a single TS)</t>
        </r>
      </text>
    </comment>
    <comment ref="R3" authorId="2" shapeId="0" xr:uid="{00000000-0006-0000-0200-000005000000}">
      <text>
        <r>
          <rPr>
            <sz val="8"/>
            <rFont val="Tahoma"/>
            <family val="2"/>
          </rPr>
          <t xml:space="preserve">Allowed Ctype
</t>
        </r>
        <r>
          <rPr>
            <b/>
            <sz val="8"/>
            <rFont val="Tahoma"/>
            <family val="2"/>
          </rPr>
          <t>ELC</t>
        </r>
        <r>
          <rPr>
            <sz val="8"/>
            <rFont val="Tahoma"/>
            <family val="2"/>
          </rPr>
          <t xml:space="preserve"> (Electricity)</t>
        </r>
      </text>
    </comment>
    <comment ref="P13" authorId="2" shapeId="0" xr:uid="{00000000-0006-0000-0200-000006000000}">
      <text>
        <r>
          <rPr>
            <sz val="8"/>
            <rFont val="Tahoma"/>
            <family val="2"/>
          </rPr>
          <t xml:space="preserve">Allowed TsLvl
</t>
        </r>
        <r>
          <rPr>
            <b/>
            <sz val="8"/>
            <rFont val="Tahoma"/>
            <family val="2"/>
          </rPr>
          <t>ANNUAL</t>
        </r>
        <r>
          <rPr>
            <sz val="8"/>
            <rFont val="Tahoma"/>
            <family val="2"/>
          </rPr>
          <t xml:space="preserve"> (Annual level)
</t>
        </r>
        <r>
          <rPr>
            <b/>
            <sz val="8"/>
            <rFont val="Tahoma"/>
            <family val="2"/>
          </rPr>
          <t>SEASON</t>
        </r>
        <r>
          <rPr>
            <sz val="8"/>
            <rFont val="Tahoma"/>
            <family val="2"/>
          </rPr>
          <t xml:space="preserve"> (Seasonal level)
</t>
        </r>
        <r>
          <rPr>
            <b/>
            <sz val="8"/>
            <rFont val="Tahoma"/>
            <family val="2"/>
          </rPr>
          <t>WEEKLY</t>
        </r>
        <r>
          <rPr>
            <sz val="8"/>
            <rFont val="Tahoma"/>
            <family val="2"/>
          </rPr>
          <t xml:space="preserve"> (Weekly level)
</t>
        </r>
        <r>
          <rPr>
            <b/>
            <sz val="8"/>
            <rFont val="Tahoma"/>
            <family val="2"/>
          </rPr>
          <t>DAYNITE</t>
        </r>
        <r>
          <rPr>
            <sz val="8"/>
            <rFont val="Tahoma"/>
            <family val="2"/>
          </rPr>
          <t xml:space="preserve"> (day and night level)</t>
        </r>
      </text>
    </comment>
    <comment ref="Q13" authorId="1" shapeId="0" xr:uid="{00000000-0006-0000-0200-00000700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Needed only when one wants to override the VEDA default assignment
</t>
        </r>
      </text>
    </comment>
    <comment ref="R13" authorId="2" shapeId="0" xr:uid="{00000000-0006-0000-0200-000008000000}">
      <text>
        <r>
          <rPr>
            <sz val="8"/>
            <rFont val="Tahoma"/>
            <family val="2"/>
          </rPr>
          <t>Allowed Vintage</t>
        </r>
        <r>
          <rPr>
            <b/>
            <sz val="8"/>
            <rFont val="Tahoma"/>
            <family val="2"/>
          </rPr>
          <t xml:space="preserve">
NO</t>
        </r>
        <r>
          <rPr>
            <sz val="8"/>
            <rFont val="Tahoma"/>
            <family val="2"/>
          </rPr>
          <t xml:space="preserve"> (if empty by default mean </t>
        </r>
        <r>
          <rPr>
            <b/>
            <sz val="8"/>
            <rFont val="Tahoma"/>
            <family val="2"/>
          </rPr>
          <t>NO</t>
        </r>
        <r>
          <rPr>
            <sz val="8"/>
            <rFont val="Tahoma"/>
            <family val="2"/>
          </rPr>
          <t>)</t>
        </r>
        <r>
          <rPr>
            <b/>
            <sz val="8"/>
            <rFont val="Tahoma"/>
            <family val="2"/>
          </rPr>
          <t xml:space="preserve">
YES</t>
        </r>
      </text>
    </comment>
    <comment ref="J14" authorId="2" shapeId="0" xr:uid="{00000000-0006-0000-0200-000009000000}">
      <text>
        <r>
          <rPr>
            <sz val="8"/>
            <rFont val="Tahoma"/>
            <family val="2"/>
          </rPr>
          <t xml:space="preserve">Sets declarations are </t>
        </r>
        <r>
          <rPr>
            <sz val="8"/>
            <rFont val="Tahoma"/>
            <family val="2"/>
          </rPr>
          <t>inherited. 
Allowed Process Sets</t>
        </r>
        <r>
          <rPr>
            <b/>
            <sz val="8"/>
            <rFont val="Tahoma"/>
            <family val="2"/>
          </rPr>
          <t xml:space="preserve">
ELE </t>
        </r>
        <r>
          <rPr>
            <sz val="8"/>
            <rFont val="Tahoma"/>
            <family val="2"/>
          </rPr>
          <t>(Thermal Electric Power Plant)</t>
        </r>
        <r>
          <rPr>
            <b/>
            <sz val="8"/>
            <rFont val="Tahoma"/>
            <family val="2"/>
          </rPr>
          <t xml:space="preserve">
CHP </t>
        </r>
        <r>
          <rPr>
            <sz val="8"/>
            <rFont val="Tahoma"/>
            <family val="2"/>
          </rPr>
          <t>(Combined Heat and Power)</t>
        </r>
        <r>
          <rPr>
            <b/>
            <sz val="8"/>
            <rFont val="Tahoma"/>
            <family val="2"/>
          </rPr>
          <t xml:space="preserve">
STGTSS </t>
        </r>
        <r>
          <rPr>
            <sz val="8"/>
            <rFont val="Tahoma"/>
            <family val="2"/>
          </rPr>
          <t>(Pump Storage)</t>
        </r>
        <r>
          <rPr>
            <b/>
            <sz val="8"/>
            <rFont val="Tahoma"/>
            <family val="2"/>
          </rPr>
          <t xml:space="preserve">
STGIPS</t>
        </r>
        <r>
          <rPr>
            <sz val="8"/>
            <rFont val="Tahoma"/>
            <family val="2"/>
          </rPr>
          <t xml:space="preserve"> (Pump Storage IP)</t>
        </r>
        <r>
          <rPr>
            <b/>
            <sz val="8"/>
            <rFont val="Tahoma"/>
            <family val="2"/>
          </rPr>
          <t xml:space="preserve">
PRE </t>
        </r>
        <r>
          <rPr>
            <sz val="8"/>
            <rFont val="Tahoma"/>
            <family val="2"/>
          </rPr>
          <t>(Genric Process/Technology)</t>
        </r>
        <r>
          <rPr>
            <b/>
            <sz val="8"/>
            <rFont val="Tahoma"/>
            <family val="2"/>
          </rPr>
          <t xml:space="preserve">
DMD</t>
        </r>
        <r>
          <rPr>
            <sz val="8"/>
            <rFont val="Tahoma"/>
            <family val="2"/>
          </rPr>
          <t xml:space="preserve"> (Demand Device)</t>
        </r>
        <r>
          <rPr>
            <b/>
            <sz val="8"/>
            <rFont val="Tahoma"/>
            <family val="2"/>
          </rPr>
          <t xml:space="preserve">
IMP </t>
        </r>
        <r>
          <rPr>
            <sz val="8"/>
            <rFont val="Tahoma"/>
            <family val="2"/>
          </rPr>
          <t xml:space="preserve">(Import)
</t>
        </r>
        <r>
          <rPr>
            <b/>
            <sz val="8"/>
            <rFont val="Tahoma"/>
            <family val="2"/>
          </rPr>
          <t>EXP</t>
        </r>
        <r>
          <rPr>
            <sz val="8"/>
            <rFont val="Tahoma"/>
            <family val="2"/>
          </rPr>
          <t xml:space="preserve"> (Export)</t>
        </r>
        <r>
          <rPr>
            <b/>
            <sz val="8"/>
            <rFont val="Tahoma"/>
            <family val="2"/>
          </rPr>
          <t xml:space="preserve">
MIN </t>
        </r>
        <r>
          <rPr>
            <sz val="8"/>
            <rFont val="Tahoma"/>
            <family val="2"/>
          </rPr>
          <t>(Mining Process)</t>
        </r>
        <r>
          <rPr>
            <b/>
            <sz val="8"/>
            <rFont val="Tahoma"/>
            <family val="2"/>
          </rPr>
          <t xml:space="preserve">
RNW </t>
        </r>
        <r>
          <rPr>
            <sz val="8"/>
            <rFont val="Tahoma"/>
            <family val="2"/>
          </rPr>
          <t>(Renewable Technology)</t>
        </r>
        <r>
          <rPr>
            <b/>
            <sz val="8"/>
            <rFont val="Tahoma"/>
            <family val="2"/>
          </rPr>
          <t xml:space="preserve">
HPL</t>
        </r>
        <r>
          <rPr>
            <sz val="8"/>
            <rFont val="Tahoma"/>
            <family val="2"/>
          </rPr>
          <t xml:space="preserve"> (Heating Plant)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O3" authorId="0" shapeId="0" xr:uid="{00000000-0006-0000-0300-000001000000}">
      <text>
        <r>
          <rPr>
            <sz val="8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rFont val="Tahoma"/>
            <family val="2"/>
          </rPr>
          <t>NRG</t>
        </r>
        <r>
          <rPr>
            <sz val="8"/>
            <rFont val="Tahoma"/>
            <family val="2"/>
          </rPr>
          <t xml:space="preserve"> (Energy)
</t>
        </r>
        <r>
          <rPr>
            <b/>
            <sz val="8"/>
            <rFont val="Tahoma"/>
            <family val="2"/>
          </rPr>
          <t>ENV</t>
        </r>
        <r>
          <rPr>
            <sz val="8"/>
            <rFont val="Tahoma"/>
            <family val="2"/>
          </rPr>
          <t xml:space="preserve"> (Emission)
</t>
        </r>
        <r>
          <rPr>
            <b/>
            <sz val="8"/>
            <rFont val="Tahoma"/>
            <family val="2"/>
          </rPr>
          <t>DEM</t>
        </r>
        <r>
          <rPr>
            <sz val="8"/>
            <rFont val="Tahoma"/>
            <family val="2"/>
          </rPr>
          <t xml:space="preserve"> (Demand)
</t>
        </r>
        <r>
          <rPr>
            <b/>
            <sz val="8"/>
            <rFont val="Tahoma"/>
            <family val="2"/>
          </rPr>
          <t>MAT</t>
        </r>
        <r>
          <rPr>
            <sz val="8"/>
            <rFont val="Tahoma"/>
            <family val="2"/>
          </rPr>
          <t xml:space="preserve"> (Material)
</t>
        </r>
        <r>
          <rPr>
            <b/>
            <sz val="8"/>
            <rFont val="Tahoma"/>
            <family val="2"/>
          </rPr>
          <t>FIN</t>
        </r>
        <r>
          <rPr>
            <sz val="8"/>
            <rFont val="Tahoma"/>
            <family val="2"/>
          </rPr>
          <t xml:space="preserve"> (Financial)</t>
        </r>
      </text>
    </comment>
    <comment ref="T3" authorId="1" shapeId="0" xr:uid="{00000000-0006-0000-0300-00000200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U3" authorId="2" shapeId="0" xr:uid="{00000000-0006-0000-0300-000003000000}">
      <text>
        <r>
          <rPr>
            <sz val="8"/>
            <rFont val="Tahoma"/>
            <family val="2"/>
          </rPr>
          <t>Allowed CTSLvl</t>
        </r>
        <r>
          <rPr>
            <b/>
            <sz val="8"/>
            <rFont val="Tahoma"/>
            <family val="2"/>
          </rPr>
          <t xml:space="preserve">
SEASON</t>
        </r>
        <r>
          <rPr>
            <sz val="8"/>
            <rFont val="Tahoma"/>
            <family val="2"/>
          </rPr>
          <t xml:space="preserve"> (Seasonal level)</t>
        </r>
        <r>
          <rPr>
            <b/>
            <sz val="8"/>
            <rFont val="Tahoma"/>
            <family val="2"/>
          </rPr>
          <t xml:space="preserve">
WEEKLY</t>
        </r>
        <r>
          <rPr>
            <sz val="8"/>
            <rFont val="Tahoma"/>
            <family val="2"/>
          </rPr>
          <t xml:space="preserve"> (Weekly level)</t>
        </r>
        <r>
          <rPr>
            <b/>
            <sz val="8"/>
            <rFont val="Tahoma"/>
            <family val="2"/>
          </rPr>
          <t xml:space="preserve">
DAYNITE</t>
        </r>
        <r>
          <rPr>
            <sz val="8"/>
            <rFont val="Tahoma"/>
            <family val="2"/>
          </rPr>
          <t xml:space="preserve"> (day and night level)</t>
        </r>
      </text>
    </comment>
    <comment ref="V3" authorId="2" shapeId="0" xr:uid="{00000000-0006-0000-0300-000004000000}">
      <text>
        <r>
          <rPr>
            <sz val="8"/>
            <rFont val="Tahoma"/>
            <family val="2"/>
          </rPr>
          <t>Allowed PeakTS</t>
        </r>
        <r>
          <rPr>
            <b/>
            <sz val="8"/>
            <rFont val="Tahoma"/>
            <family val="2"/>
          </rPr>
          <t xml:space="preserve">
ANNUAL </t>
        </r>
        <r>
          <rPr>
            <sz val="8"/>
            <rFont val="Tahoma"/>
            <family val="2"/>
          </rPr>
          <t>(to generate Peak Equation for all the TimeSlices)</t>
        </r>
        <r>
          <rPr>
            <b/>
            <sz val="8"/>
            <rFont val="Tahoma"/>
            <family val="2"/>
          </rPr>
          <t xml:space="preserve">
User TS </t>
        </r>
        <r>
          <rPr>
            <sz val="8"/>
            <rFont val="Tahoma"/>
            <family val="2"/>
          </rPr>
          <t>(to generate Peak Equation for a single TS)</t>
        </r>
      </text>
    </comment>
    <comment ref="W3" authorId="2" shapeId="0" xr:uid="{00000000-0006-0000-0300-000005000000}">
      <text>
        <r>
          <rPr>
            <sz val="8"/>
            <rFont val="Tahoma"/>
            <family val="2"/>
          </rPr>
          <t xml:space="preserve">Allowed Ctype
</t>
        </r>
        <r>
          <rPr>
            <b/>
            <sz val="8"/>
            <rFont val="Tahoma"/>
            <family val="2"/>
          </rPr>
          <t>ELC</t>
        </r>
        <r>
          <rPr>
            <sz val="8"/>
            <rFont val="Tahoma"/>
            <family val="2"/>
          </rPr>
          <t xml:space="preserve"> (Electricity)</t>
        </r>
      </text>
    </comment>
    <comment ref="U10" authorId="2" shapeId="0" xr:uid="{00000000-0006-0000-0300-000006000000}">
      <text>
        <r>
          <rPr>
            <sz val="8"/>
            <rFont val="Tahoma"/>
            <family val="2"/>
          </rPr>
          <t xml:space="preserve">Allowed TsLvl
</t>
        </r>
        <r>
          <rPr>
            <b/>
            <sz val="8"/>
            <rFont val="Tahoma"/>
            <family val="2"/>
          </rPr>
          <t>ANNUAL</t>
        </r>
        <r>
          <rPr>
            <sz val="8"/>
            <rFont val="Tahoma"/>
            <family val="2"/>
          </rPr>
          <t xml:space="preserve"> (Annual level)
</t>
        </r>
        <r>
          <rPr>
            <b/>
            <sz val="8"/>
            <rFont val="Tahoma"/>
            <family val="2"/>
          </rPr>
          <t>SEASON</t>
        </r>
        <r>
          <rPr>
            <sz val="8"/>
            <rFont val="Tahoma"/>
            <family val="2"/>
          </rPr>
          <t xml:space="preserve"> (Seasonal level)
</t>
        </r>
        <r>
          <rPr>
            <b/>
            <sz val="8"/>
            <rFont val="Tahoma"/>
            <family val="2"/>
          </rPr>
          <t>WEEKLY</t>
        </r>
        <r>
          <rPr>
            <sz val="8"/>
            <rFont val="Tahoma"/>
            <family val="2"/>
          </rPr>
          <t xml:space="preserve"> (Weekly level)
</t>
        </r>
        <r>
          <rPr>
            <b/>
            <sz val="8"/>
            <rFont val="Tahoma"/>
            <family val="2"/>
          </rPr>
          <t>DAYNITE</t>
        </r>
        <r>
          <rPr>
            <sz val="8"/>
            <rFont val="Tahoma"/>
            <family val="2"/>
          </rPr>
          <t xml:space="preserve"> (day and night level)</t>
        </r>
      </text>
    </comment>
    <comment ref="V10" authorId="1" shapeId="0" xr:uid="{00000000-0006-0000-0300-00000700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Needed only when one wants to override the VEDA default assignment
</t>
        </r>
      </text>
    </comment>
    <comment ref="W10" authorId="2" shapeId="0" xr:uid="{00000000-0006-0000-0300-000008000000}">
      <text>
        <r>
          <rPr>
            <sz val="8"/>
            <rFont val="Tahoma"/>
            <family val="2"/>
          </rPr>
          <t>Allowed Vintage</t>
        </r>
        <r>
          <rPr>
            <b/>
            <sz val="8"/>
            <rFont val="Tahoma"/>
            <family val="2"/>
          </rPr>
          <t xml:space="preserve">
NO</t>
        </r>
        <r>
          <rPr>
            <sz val="8"/>
            <rFont val="Tahoma"/>
            <family val="2"/>
          </rPr>
          <t xml:space="preserve"> (if empty by default mean </t>
        </r>
        <r>
          <rPr>
            <b/>
            <sz val="8"/>
            <rFont val="Tahoma"/>
            <family val="2"/>
          </rPr>
          <t>NO</t>
        </r>
        <r>
          <rPr>
            <sz val="8"/>
            <rFont val="Tahoma"/>
            <family val="2"/>
          </rPr>
          <t>)</t>
        </r>
        <r>
          <rPr>
            <b/>
            <sz val="8"/>
            <rFont val="Tahoma"/>
            <family val="2"/>
          </rPr>
          <t xml:space="preserve">
YES</t>
        </r>
      </text>
    </comment>
    <comment ref="O11" authorId="2" shapeId="0" xr:uid="{00000000-0006-0000-0300-000009000000}">
      <text>
        <r>
          <rPr>
            <sz val="8"/>
            <rFont val="Tahoma"/>
            <family val="2"/>
          </rPr>
          <t xml:space="preserve">Sets declarations are </t>
        </r>
        <r>
          <rPr>
            <sz val="8"/>
            <rFont val="Tahoma"/>
            <family val="2"/>
          </rPr>
          <t>inherited. 
Allowed Process Sets</t>
        </r>
        <r>
          <rPr>
            <b/>
            <sz val="8"/>
            <rFont val="Tahoma"/>
            <family val="2"/>
          </rPr>
          <t xml:space="preserve">
ELE </t>
        </r>
        <r>
          <rPr>
            <sz val="8"/>
            <rFont val="Tahoma"/>
            <family val="2"/>
          </rPr>
          <t>(Thermal Electric Power Plant)</t>
        </r>
        <r>
          <rPr>
            <b/>
            <sz val="8"/>
            <rFont val="Tahoma"/>
            <family val="2"/>
          </rPr>
          <t xml:space="preserve">
CHP </t>
        </r>
        <r>
          <rPr>
            <sz val="8"/>
            <rFont val="Tahoma"/>
            <family val="2"/>
          </rPr>
          <t>(Combined Heat and Power)</t>
        </r>
        <r>
          <rPr>
            <b/>
            <sz val="8"/>
            <rFont val="Tahoma"/>
            <family val="2"/>
          </rPr>
          <t xml:space="preserve">
STGTSS </t>
        </r>
        <r>
          <rPr>
            <sz val="8"/>
            <rFont val="Tahoma"/>
            <family val="2"/>
          </rPr>
          <t>(Pump Storage)</t>
        </r>
        <r>
          <rPr>
            <b/>
            <sz val="8"/>
            <rFont val="Tahoma"/>
            <family val="2"/>
          </rPr>
          <t xml:space="preserve">
STGIPS</t>
        </r>
        <r>
          <rPr>
            <sz val="8"/>
            <rFont val="Tahoma"/>
            <family val="2"/>
          </rPr>
          <t xml:space="preserve"> (Pump Storage IP)</t>
        </r>
        <r>
          <rPr>
            <b/>
            <sz val="8"/>
            <rFont val="Tahoma"/>
            <family val="2"/>
          </rPr>
          <t xml:space="preserve">
PRE </t>
        </r>
        <r>
          <rPr>
            <sz val="8"/>
            <rFont val="Tahoma"/>
            <family val="2"/>
          </rPr>
          <t>(Genric Process/Technology)</t>
        </r>
        <r>
          <rPr>
            <b/>
            <sz val="8"/>
            <rFont val="Tahoma"/>
            <family val="2"/>
          </rPr>
          <t xml:space="preserve">
DMD</t>
        </r>
        <r>
          <rPr>
            <sz val="8"/>
            <rFont val="Tahoma"/>
            <family val="2"/>
          </rPr>
          <t xml:space="preserve"> (Demand Device)</t>
        </r>
        <r>
          <rPr>
            <b/>
            <sz val="8"/>
            <rFont val="Tahoma"/>
            <family val="2"/>
          </rPr>
          <t xml:space="preserve">
IMP </t>
        </r>
        <r>
          <rPr>
            <sz val="8"/>
            <rFont val="Tahoma"/>
            <family val="2"/>
          </rPr>
          <t xml:space="preserve">(Import)
</t>
        </r>
        <r>
          <rPr>
            <b/>
            <sz val="8"/>
            <rFont val="Tahoma"/>
            <family val="2"/>
          </rPr>
          <t>EXP</t>
        </r>
        <r>
          <rPr>
            <sz val="8"/>
            <rFont val="Tahoma"/>
            <family val="2"/>
          </rPr>
          <t xml:space="preserve"> (Export)</t>
        </r>
        <r>
          <rPr>
            <b/>
            <sz val="8"/>
            <rFont val="Tahoma"/>
            <family val="2"/>
          </rPr>
          <t xml:space="preserve">
MIN </t>
        </r>
        <r>
          <rPr>
            <sz val="8"/>
            <rFont val="Tahoma"/>
            <family val="2"/>
          </rPr>
          <t>(Mining Process)</t>
        </r>
        <r>
          <rPr>
            <b/>
            <sz val="8"/>
            <rFont val="Tahoma"/>
            <family val="2"/>
          </rPr>
          <t xml:space="preserve">
RNW </t>
        </r>
        <r>
          <rPr>
            <sz val="8"/>
            <rFont val="Tahoma"/>
            <family val="2"/>
          </rPr>
          <t>(Renewable Technology)</t>
        </r>
        <r>
          <rPr>
            <b/>
            <sz val="8"/>
            <rFont val="Tahoma"/>
            <family val="2"/>
          </rPr>
          <t xml:space="preserve">
HPL</t>
        </r>
        <r>
          <rPr>
            <sz val="8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<sst xmlns="http://schemas.openxmlformats.org/spreadsheetml/2006/main" count="347" uniqueCount="192">
  <si>
    <t>CommName</t>
  </si>
  <si>
    <t>TechName</t>
  </si>
  <si>
    <t>TechDesc</t>
  </si>
  <si>
    <t>CommDesc</t>
  </si>
  <si>
    <t>Unit</t>
  </si>
  <si>
    <t>Comm-IN</t>
  </si>
  <si>
    <t>Comm-OUT</t>
  </si>
  <si>
    <t>Csets</t>
  </si>
  <si>
    <t>LimType</t>
  </si>
  <si>
    <t>CTSLvl</t>
  </si>
  <si>
    <t>PeakTS</t>
  </si>
  <si>
    <t>Sets</t>
  </si>
  <si>
    <t>Ctype</t>
  </si>
  <si>
    <t>~FI_T</t>
  </si>
  <si>
    <t>~FI_Comm</t>
  </si>
  <si>
    <t>~FI_Process</t>
  </si>
  <si>
    <t>Tact</t>
  </si>
  <si>
    <t>Tcap</t>
  </si>
  <si>
    <t>Tslvl</t>
  </si>
  <si>
    <t>PrimaryCG</t>
  </si>
  <si>
    <t>Vintage</t>
  </si>
  <si>
    <t>Technology Name</t>
  </si>
  <si>
    <t>Technology Description</t>
  </si>
  <si>
    <t>Activity Unit</t>
  </si>
  <si>
    <t>Capacity Unit</t>
  </si>
  <si>
    <t>Vintage Tracking</t>
  </si>
  <si>
    <t>Commodity Name</t>
  </si>
  <si>
    <t>Commodity Description</t>
  </si>
  <si>
    <t>Peak Monitoring</t>
  </si>
  <si>
    <t>Electricity Indicator</t>
  </si>
  <si>
    <t>Region</t>
  </si>
  <si>
    <t>Region Name</t>
  </si>
  <si>
    <t>Input Commodity</t>
  </si>
  <si>
    <t>Output Commodity</t>
  </si>
  <si>
    <t>Existing Installed Capacity</t>
  </si>
  <si>
    <t>Demand</t>
  </si>
  <si>
    <t>Demand Value</t>
  </si>
  <si>
    <t>*Commodity Set Membership</t>
  </si>
  <si>
    <t>*Process Set Membership</t>
  </si>
  <si>
    <t>*Technology Name</t>
  </si>
  <si>
    <t>Sense of the Balance EQN.</t>
  </si>
  <si>
    <t>Timeslice Level</t>
  </si>
  <si>
    <t>Primary Commodity Group</t>
  </si>
  <si>
    <t>TimeSlice level of Process Activity</t>
  </si>
  <si>
    <t>COA</t>
  </si>
  <si>
    <t>GAS</t>
  </si>
  <si>
    <t>OIL</t>
  </si>
  <si>
    <t>NUC</t>
  </si>
  <si>
    <t>SLU</t>
  </si>
  <si>
    <t>HET</t>
  </si>
  <si>
    <t>ELC</t>
  </si>
  <si>
    <t>Solid Fuels</t>
  </si>
  <si>
    <t>Natural Gas</t>
  </si>
  <si>
    <t>Nuclear Energy</t>
  </si>
  <si>
    <t>Industrial Wastes</t>
  </si>
  <si>
    <t>Derived Heat</t>
  </si>
  <si>
    <t>Total</t>
  </si>
  <si>
    <t>FINAL</t>
  </si>
  <si>
    <t>RSD</t>
  </si>
  <si>
    <t>Residential</t>
  </si>
  <si>
    <t>COM</t>
  </si>
  <si>
    <t>Commercial</t>
  </si>
  <si>
    <t>IND</t>
  </si>
  <si>
    <t>Industry</t>
  </si>
  <si>
    <t>AGR</t>
  </si>
  <si>
    <t>Agriculture</t>
  </si>
  <si>
    <t>TRA</t>
  </si>
  <si>
    <t>Transport</t>
  </si>
  <si>
    <t>OTH</t>
  </si>
  <si>
    <t>Other</t>
  </si>
  <si>
    <t>Non Energy</t>
  </si>
  <si>
    <t>Bunkers</t>
  </si>
  <si>
    <t>NRG</t>
  </si>
  <si>
    <t>Sector Name</t>
  </si>
  <si>
    <t>Commodity</t>
  </si>
  <si>
    <t>Description</t>
  </si>
  <si>
    <t>PJ</t>
  </si>
  <si>
    <t>Default Unit</t>
  </si>
  <si>
    <t>Currency Unit</t>
  </si>
  <si>
    <t>LIFE</t>
  </si>
  <si>
    <t>Attribute</t>
  </si>
  <si>
    <t>*</t>
  </si>
  <si>
    <t>Demand Commodity Name</t>
  </si>
  <si>
    <t>DEM</t>
  </si>
  <si>
    <t>FIXOM</t>
  </si>
  <si>
    <t>EFF</t>
  </si>
  <si>
    <t>NEN</t>
  </si>
  <si>
    <t>BNK</t>
  </si>
  <si>
    <t>Electricity</t>
  </si>
  <si>
    <t>TFC</t>
  </si>
  <si>
    <t>Efficiency</t>
  </si>
  <si>
    <t>*Units</t>
  </si>
  <si>
    <t>Years</t>
  </si>
  <si>
    <t>Default Units</t>
  </si>
  <si>
    <t>Currency</t>
  </si>
  <si>
    <t>Activity</t>
  </si>
  <si>
    <t>Fixed O&amp;M Cost</t>
  </si>
  <si>
    <t>DMD</t>
  </si>
  <si>
    <t>AFA</t>
  </si>
  <si>
    <t>Utilisation Factor</t>
  </si>
  <si>
    <t>Existing</t>
  </si>
  <si>
    <t>E</t>
  </si>
  <si>
    <t>Sector</t>
  </si>
  <si>
    <t>Emissions</t>
  </si>
  <si>
    <t>kt</t>
  </si>
  <si>
    <t>ENV</t>
  </si>
  <si>
    <t>CO2</t>
  </si>
  <si>
    <t>Nox</t>
  </si>
  <si>
    <t>VOC</t>
  </si>
  <si>
    <t>Carbon dioxide</t>
  </si>
  <si>
    <t>NOX</t>
  </si>
  <si>
    <t>Sector Fuel</t>
  </si>
  <si>
    <t>PRE</t>
  </si>
  <si>
    <t>Deafult unit</t>
  </si>
  <si>
    <t>Type</t>
  </si>
  <si>
    <t>Demand Technologies</t>
  </si>
  <si>
    <t>Break-out by end-use</t>
  </si>
  <si>
    <t>Emission by sector</t>
  </si>
  <si>
    <t>CALIBRATION</t>
  </si>
  <si>
    <t>Timeslices</t>
  </si>
  <si>
    <t>COM_FR</t>
  </si>
  <si>
    <t>SD</t>
  </si>
  <si>
    <t>SN</t>
  </si>
  <si>
    <t>WD</t>
  </si>
  <si>
    <t>WN</t>
  </si>
  <si>
    <t>DAYNITE</t>
  </si>
  <si>
    <t>REG1</t>
  </si>
  <si>
    <t>STOCK</t>
  </si>
  <si>
    <t>Crude oil</t>
  </si>
  <si>
    <t>DSL</t>
  </si>
  <si>
    <t>KER</t>
  </si>
  <si>
    <t>LPG</t>
  </si>
  <si>
    <t>GSL</t>
  </si>
  <si>
    <t>NAP</t>
  </si>
  <si>
    <t>HFO</t>
  </si>
  <si>
    <t>OPP</t>
  </si>
  <si>
    <t>Heavy Fuel Oil</t>
  </si>
  <si>
    <t>Other Petroleum Products</t>
  </si>
  <si>
    <t>Kerosenes</t>
  </si>
  <si>
    <t>Motor spirit</t>
  </si>
  <si>
    <t>Naphtha</t>
  </si>
  <si>
    <t>Diesel oil</t>
  </si>
  <si>
    <t>Cars</t>
  </si>
  <si>
    <t>Capacity</t>
  </si>
  <si>
    <t>000_Units</t>
  </si>
  <si>
    <t>DEMO</t>
  </si>
  <si>
    <t>ACTFLO~DEMO</t>
  </si>
  <si>
    <t>Passenger/Car</t>
  </si>
  <si>
    <t>Activity to Flo</t>
  </si>
  <si>
    <t>Dynamic coefficients for combustion emissions in transport</t>
  </si>
  <si>
    <t>~COMEMI</t>
  </si>
  <si>
    <t>'000 km</t>
  </si>
  <si>
    <t>*Unit</t>
  </si>
  <si>
    <t>Demand Unit</t>
  </si>
  <si>
    <t>Input Share</t>
  </si>
  <si>
    <t>Share-I~UP</t>
  </si>
  <si>
    <t>M€2005</t>
  </si>
  <si>
    <t>Data used in the template to buld the model</t>
  </si>
  <si>
    <t>kt/PJ</t>
  </si>
  <si>
    <t>User inputs</t>
  </si>
  <si>
    <t>Linked to the Energy Balance</t>
  </si>
  <si>
    <t>Reference Energy System (from VEDA-FE Go-To RES feature)</t>
  </si>
  <si>
    <t>Total Final Consumption</t>
  </si>
  <si>
    <t>Pub</t>
  </si>
  <si>
    <t>CAR</t>
  </si>
  <si>
    <t>PUB</t>
  </si>
  <si>
    <t>Transport Demand Sectors</t>
  </si>
  <si>
    <t>BIO</t>
  </si>
  <si>
    <t>HYD</t>
  </si>
  <si>
    <t>WIN</t>
  </si>
  <si>
    <t>SOL</t>
  </si>
  <si>
    <t>Biomass</t>
  </si>
  <si>
    <t>Hydro power</t>
  </si>
  <si>
    <t>Wind energy</t>
  </si>
  <si>
    <t>Solar energy</t>
  </si>
  <si>
    <t>TOT</t>
  </si>
  <si>
    <t>Biofuels</t>
  </si>
  <si>
    <t>Lifetime</t>
  </si>
  <si>
    <t>CAP2ACT</t>
  </si>
  <si>
    <t>Capacity to Activity Factor</t>
  </si>
  <si>
    <t>BV*km/PJ</t>
  </si>
  <si>
    <t>bvkm/mvkm</t>
  </si>
  <si>
    <t>BPass*km</t>
  </si>
  <si>
    <t>BPkm</t>
  </si>
  <si>
    <t>Bpass*km</t>
  </si>
  <si>
    <t>jklh</t>
  </si>
  <si>
    <t>VBNC</t>
  </si>
  <si>
    <t>NBNBVCN</t>
  </si>
  <si>
    <t>VBN</t>
  </si>
  <si>
    <t>BN</t>
  </si>
  <si>
    <t>HGJG</t>
  </si>
  <si>
    <t>CVBNC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</si>
</sst>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0.000"/>
    <numFmt numFmtId="166" formatCode="General_)"/>
    <numFmt numFmtId="167" formatCode="\Te\x\t"/>
  </numFmts>
  <fonts count="24">
    <font>
      <sz val="10"/>
      <name val="Arial"/>
      <family val="2"/>
    </font>
    <font>
      <sz val="10"/>
      <color theme="1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8"/>
      <name val="Tahoma"/>
      <family val="2"/>
    </font>
    <font>
      <b/>
      <sz val="8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sz val="9"/>
      <name val="Tahoma"/>
      <family val="2"/>
    </font>
    <font>
      <sz val="14"/>
      <color indexed="9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0"/>
      <color theme="9" tint="-0.249970003962517"/>
      <name val="Arial"/>
      <family val="2"/>
    </font>
    <font>
      <sz val="18"/>
      <color theme="0"/>
      <name val="Calibri"/>
      <family val="2"/>
      <scheme val="minor"/>
    </font>
    <font>
      <b/>
      <sz val="14"/>
      <color rgb="FFFF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8" tint="0.799979984760284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4" tint="0.799979984760284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theme="3" tint="0.799979984760284"/>
        <bgColor indexed="64"/>
      </patternFill>
    </fill>
    <fill>
      <patternFill patternType="solid">
        <fgColor theme="9" tint="0.599990010261536"/>
        <bgColor indexed="64"/>
      </patternFill>
    </fill>
  </fills>
  <borders count="1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  <border>
      <left/>
      <right/>
      <top style="thin">
        <color auto="1"/>
      </top>
      <bottom style="medium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/>
    </border>
    <border>
      <left style="thin">
        <color auto="1"/>
      </left>
      <right/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/>
      <bottom style="medium">
        <color auto="1"/>
      </bottom>
    </border>
    <border>
      <left/>
      <right style="thin">
        <color auto="1"/>
      </right>
      <top/>
      <bottom style="thin">
        <color auto="1"/>
      </bottom>
    </border>
    <border>
      <left/>
      <right style="thin">
        <color auto="1"/>
      </right>
      <top/>
      <bottom/>
    </border>
    <border>
      <left/>
      <right style="thin">
        <color auto="1"/>
      </right>
      <top style="thin">
        <color auto="1"/>
      </top>
      <bottom/>
    </border>
    <border>
      <left/>
      <right/>
      <top style="medium">
        <color auto="1"/>
      </top>
      <bottom/>
    </border>
  </borders>
  <cellStyleXfs count="4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3" fillId="6" borderId="1" applyNumberFormat="0" applyAlignment="0" applyProtection="0"/>
    <xf numFmtId="164" fontId="11" fillId="0" borderId="0" applyFont="0" applyFill="0" applyBorder="0" applyAlignment="0" applyProtection="0"/>
    <xf numFmtId="0" fontId="14" fillId="7" borderId="0" applyNumberFormat="0" applyBorder="0" applyAlignment="0" applyProtection="0"/>
    <xf numFmtId="0" fontId="15" fillId="8" borderId="1" applyNumberFormat="0" applyAlignment="0" applyProtection="0"/>
    <xf numFmtId="0" fontId="16" fillId="9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1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</cellStyleXfs>
  <cellXfs count="128">
    <xf numFmtId="0" fontId="0" fillId="0" borderId="0" xfId="0"/>
    <xf numFmtId="0" fontId="0" fillId="0" borderId="0" xfId="0" applyFont="1"/>
    <xf numFmtId="0" fontId="3" fillId="10" borderId="2" xfId="0" applyFont="1" applyFill="1" applyBorder="1" applyAlignment="1">
      <alignment vertical="center"/>
    </xf>
    <xf numFmtId="0" fontId="4" fillId="0" borderId="0" xfId="0" applyFont="1"/>
    <xf numFmtId="0" fontId="0" fillId="0" borderId="0" xfId="31" applyAlignment="1">
      <alignment horizontal="right"/>
      <protection/>
    </xf>
    <xf numFmtId="0" fontId="4" fillId="0" borderId="0" xfId="31" applyFont="1" applyAlignment="1">
      <alignment horizontal="left"/>
      <protection/>
    </xf>
    <xf numFmtId="0" fontId="0" fillId="0" borderId="3" xfId="0" applyBorder="1"/>
    <xf numFmtId="1" fontId="0" fillId="0" borderId="0" xfId="0" applyNumberFormat="1"/>
    <xf numFmtId="0" fontId="12" fillId="5" borderId="0" xfId="23"/>
    <xf numFmtId="0" fontId="17" fillId="0" borderId="0" xfId="26" applyFont="1" applyFill="1"/>
    <xf numFmtId="0" fontId="17" fillId="11" borderId="0" xfId="26" applyFont="1" applyFill="1"/>
    <xf numFmtId="0" fontId="0" fillId="0" borderId="0" xfId="28" applyFont="1" applyFill="1"/>
    <xf numFmtId="1" fontId="0" fillId="0" borderId="0" xfId="0" applyNumberFormat="1" applyFont="1"/>
    <xf numFmtId="0" fontId="18" fillId="2" borderId="4" xfId="20" applyFont="1" applyBorder="1" applyAlignment="1">
      <alignment horizontal="center" wrapText="1"/>
    </xf>
    <xf numFmtId="0" fontId="19" fillId="0" borderId="0" xfId="0" applyFont="1"/>
    <xf numFmtId="0" fontId="18" fillId="2" borderId="4" xfId="20" applyFont="1" applyBorder="1" applyAlignment="1">
      <alignment horizontal="left" wrapText="1"/>
    </xf>
    <xf numFmtId="0" fontId="18" fillId="2" borderId="2" xfId="20" applyFont="1" applyBorder="1" applyAlignment="1">
      <alignment horizontal="left" wrapText="1"/>
    </xf>
    <xf numFmtId="0" fontId="3" fillId="10" borderId="2" xfId="31" applyFont="1" applyFill="1" applyBorder="1" applyAlignment="1">
      <alignment horizontal="left" vertical="center"/>
      <protection/>
    </xf>
    <xf numFmtId="0" fontId="17" fillId="11" borderId="0" xfId="26" applyFont="1" applyFill="1" applyAlignment="1">
      <alignment wrapText="1"/>
    </xf>
    <xf numFmtId="0" fontId="0" fillId="0" borderId="0" xfId="0" applyAlignment="1">
      <alignment wrapText="1"/>
    </xf>
    <xf numFmtId="0" fontId="20" fillId="0" borderId="0" xfId="0" applyFont="1"/>
    <xf numFmtId="9" fontId="19" fillId="0" borderId="0" xfId="15" applyFont="1" applyBorder="1" applyAlignment="1">
      <alignment/>
    </xf>
    <xf numFmtId="0" fontId="3" fillId="0" borderId="0" xfId="0" applyFont="1"/>
    <xf numFmtId="0" fontId="0" fillId="0" borderId="0" xfId="29">
      <alignment/>
      <protection/>
    </xf>
    <xf numFmtId="0" fontId="0" fillId="0" borderId="0" xfId="29" applyAlignment="1">
      <alignment wrapText="1"/>
      <protection/>
    </xf>
    <xf numFmtId="0" fontId="3" fillId="0" borderId="0" xfId="31" applyFont="1" applyAlignment="1">
      <alignment horizontal="right" vertical="center" wrapText="1"/>
      <protection/>
    </xf>
    <xf numFmtId="1" fontId="0" fillId="0" borderId="0" xfId="29" applyNumberFormat="1">
      <alignment/>
      <protection/>
    </xf>
    <xf numFmtId="0" fontId="0" fillId="0" borderId="3" xfId="0" applyFont="1" applyBorder="1"/>
    <xf numFmtId="0" fontId="0" fillId="0" borderId="3" xfId="29" applyBorder="1">
      <alignment/>
      <protection/>
    </xf>
    <xf numFmtId="1" fontId="1" fillId="12" borderId="0" xfId="21" applyNumberFormat="1" applyFont="1" applyFill="1" applyBorder="1" applyAlignment="1">
      <alignment horizontal="right" wrapText="1"/>
    </xf>
    <xf numFmtId="0" fontId="12" fillId="0" borderId="0" xfId="23" applyFill="1"/>
    <xf numFmtId="0" fontId="17" fillId="11" borderId="0" xfId="26" applyFont="1" applyFill="1" quotePrefix="1"/>
    <xf numFmtId="0" fontId="18" fillId="0" borderId="0" xfId="20" applyFont="1" applyFill="1" applyBorder="1" applyAlignment="1">
      <alignment horizontal="right" wrapText="1"/>
    </xf>
    <xf numFmtId="0" fontId="4" fillId="0" borderId="0" xfId="0" applyFont="1" applyAlignment="1">
      <alignment horizontal="left"/>
    </xf>
    <xf numFmtId="0" fontId="10" fillId="0" borderId="0" xfId="0" applyFont="1"/>
    <xf numFmtId="0" fontId="10" fillId="13" borderId="0" xfId="0" applyFont="1" applyFill="1" quotePrefix="1"/>
    <xf numFmtId="0" fontId="10" fillId="0" borderId="0" xfId="0" applyFont="1" quotePrefix="1"/>
    <xf numFmtId="0" fontId="3" fillId="0" borderId="0" xfId="31" applyFont="1" applyAlignment="1">
      <alignment horizontal="left" vertical="center"/>
      <protection/>
    </xf>
    <xf numFmtId="0" fontId="3" fillId="10" borderId="4" xfId="31" applyFont="1" applyFill="1" applyBorder="1" applyAlignment="1">
      <alignment horizontal="left" vertical="center"/>
      <protection/>
    </xf>
    <xf numFmtId="0" fontId="21" fillId="0" borderId="0" xfId="0" applyFont="1"/>
    <xf numFmtId="0" fontId="17" fillId="11" borderId="0" xfId="26" applyFont="1" applyFill="1" applyAlignment="1">
      <alignment horizontal="left"/>
    </xf>
    <xf numFmtId="0" fontId="21" fillId="14" borderId="3" xfId="0" applyFont="1" applyFill="1" applyBorder="1" applyAlignment="1">
      <alignment wrapText="1"/>
    </xf>
    <xf numFmtId="0" fontId="3" fillId="14" borderId="3" xfId="0" applyFont="1" applyFill="1" applyBorder="1" applyAlignment="1">
      <alignment wrapText="1"/>
    </xf>
    <xf numFmtId="0" fontId="21" fillId="14" borderId="0" xfId="0" applyFont="1" applyFill="1"/>
    <xf numFmtId="166" fontId="8" fillId="15" borderId="0" xfId="0" applyNumberFormat="1" applyFont="1" applyFill="1" applyAlignment="1">
      <alignment horizontal="left" vertical="center"/>
    </xf>
    <xf numFmtId="0" fontId="0" fillId="16" borderId="0" xfId="0" applyFill="1"/>
    <xf numFmtId="1" fontId="0" fillId="15" borderId="3" xfId="0" applyNumberFormat="1" applyFill="1" applyBorder="1"/>
    <xf numFmtId="1" fontId="15" fillId="8" borderId="0" xfId="27" applyNumberFormat="1" applyBorder="1" applyAlignment="1">
      <alignment/>
    </xf>
    <xf numFmtId="1" fontId="13" fillId="6" borderId="5" xfId="24" applyNumberFormat="1" applyBorder="1" applyAlignment="1">
      <alignment horizontal="right"/>
    </xf>
    <xf numFmtId="1" fontId="13" fillId="6" borderId="6" xfId="24" applyNumberFormat="1" applyBorder="1" applyAlignment="1">
      <alignment horizontal="right"/>
    </xf>
    <xf numFmtId="166" fontId="13" fillId="6" borderId="7" xfId="24" applyNumberFormat="1" applyBorder="1" applyAlignment="1">
      <alignment horizontal="right" vertical="center"/>
    </xf>
    <xf numFmtId="166" fontId="8" fillId="15" borderId="8" xfId="0" applyNumberFormat="1" applyFont="1" applyFill="1" applyBorder="1" applyAlignment="1">
      <alignment horizontal="left" vertical="center"/>
    </xf>
    <xf numFmtId="166" fontId="8" fillId="15" borderId="9" xfId="0" applyNumberFormat="1" applyFont="1" applyFill="1" applyBorder="1" applyAlignment="1">
      <alignment horizontal="left" vertical="center"/>
    </xf>
    <xf numFmtId="166" fontId="8" fillId="15" borderId="10" xfId="0" applyNumberFormat="1" applyFont="1" applyFill="1" applyBorder="1" applyAlignment="1">
      <alignment horizontal="left" vertical="center"/>
    </xf>
    <xf numFmtId="166" fontId="8" fillId="15" borderId="11" xfId="0" applyNumberFormat="1" applyFont="1" applyFill="1" applyBorder="1" applyAlignment="1">
      <alignment horizontal="left" vertical="center"/>
    </xf>
    <xf numFmtId="166" fontId="8" fillId="15" borderId="2" xfId="0" applyNumberFormat="1" applyFont="1" applyFill="1" applyBorder="1" applyAlignment="1">
      <alignment horizontal="left" vertical="center"/>
    </xf>
    <xf numFmtId="166" fontId="8" fillId="15" borderId="12" xfId="0" applyNumberFormat="1" applyFont="1" applyFill="1" applyBorder="1" applyAlignment="1">
      <alignment horizontal="left" vertical="center"/>
    </xf>
    <xf numFmtId="0" fontId="20" fillId="0" borderId="7" xfId="0" applyFont="1" applyBorder="1" applyAlignment="1">
      <alignment horizontal="center"/>
    </xf>
    <xf numFmtId="0" fontId="21" fillId="14" borderId="13" xfId="0" applyFont="1" applyFill="1" applyBorder="1" applyAlignment="1">
      <alignment wrapText="1"/>
    </xf>
    <xf numFmtId="0" fontId="21" fillId="14" borderId="6" xfId="0" applyFont="1" applyFill="1" applyBorder="1" applyAlignment="1">
      <alignment wrapText="1"/>
    </xf>
    <xf numFmtId="0" fontId="21" fillId="14" borderId="7" xfId="0" applyFont="1" applyFill="1" applyBorder="1" applyAlignment="1">
      <alignment wrapText="1"/>
    </xf>
    <xf numFmtId="0" fontId="22" fillId="5" borderId="3" xfId="23" applyFont="1" applyBorder="1" applyAlignment="1">
      <alignment horizontal="left" vertical="center"/>
    </xf>
    <xf numFmtId="1" fontId="0" fillId="16" borderId="0" xfId="0" applyNumberFormat="1" applyFill="1"/>
    <xf numFmtId="1" fontId="0" fillId="17" borderId="0" xfId="0" applyNumberFormat="1" applyFill="1"/>
    <xf numFmtId="0" fontId="0" fillId="17" borderId="0" xfId="0" applyFill="1"/>
    <xf numFmtId="2" fontId="0" fillId="16" borderId="0" xfId="28" applyNumberFormat="1" applyFont="1" applyFill="1"/>
    <xf numFmtId="0" fontId="0" fillId="16" borderId="0" xfId="28" applyFont="1" applyFill="1"/>
    <xf numFmtId="2" fontId="0" fillId="16" borderId="0" xfId="0" applyNumberFormat="1" applyFill="1"/>
    <xf numFmtId="2" fontId="0" fillId="16" borderId="0" xfId="0" applyNumberFormat="1" applyFont="1" applyFill="1"/>
    <xf numFmtId="165" fontId="0" fillId="16" borderId="0" xfId="0" applyNumberFormat="1" applyFill="1"/>
    <xf numFmtId="2" fontId="0" fillId="0" borderId="0" xfId="28" applyNumberFormat="1" applyFont="1" applyFill="1"/>
    <xf numFmtId="0" fontId="23" fillId="0" borderId="0" xfId="0" applyFont="1"/>
    <xf numFmtId="0" fontId="3" fillId="18" borderId="0" xfId="0" applyFont="1" applyFill="1"/>
    <xf numFmtId="0" fontId="3" fillId="10" borderId="2" xfId="31" applyFont="1" applyFill="1" applyBorder="1" applyAlignment="1">
      <alignment horizontal="center" vertical="center" wrapText="1"/>
      <protection/>
    </xf>
    <xf numFmtId="0" fontId="18" fillId="2" borderId="2" xfId="20" applyFont="1" applyBorder="1" applyAlignment="1">
      <alignment horizontal="center" wrapText="1"/>
    </xf>
    <xf numFmtId="0" fontId="18" fillId="2" borderId="14" xfId="20" applyFont="1" applyBorder="1" applyAlignment="1">
      <alignment horizontal="center" wrapText="1"/>
    </xf>
    <xf numFmtId="0" fontId="3" fillId="10" borderId="2" xfId="32" applyFont="1" applyFill="1" applyBorder="1" applyAlignment="1">
      <alignment horizontal="center" vertical="center" wrapText="1"/>
      <protection/>
    </xf>
    <xf numFmtId="0" fontId="18" fillId="2" borderId="14" xfId="20" applyFont="1" applyBorder="1" applyAlignment="1" quotePrefix="1">
      <alignment horizontal="center" wrapText="1"/>
    </xf>
    <xf numFmtId="0" fontId="3" fillId="10" borderId="2" xfId="0" applyFont="1" applyFill="1" applyBorder="1" applyAlignment="1">
      <alignment horizontal="center" vertical="center" wrapText="1"/>
    </xf>
    <xf numFmtId="1" fontId="0" fillId="17" borderId="3" xfId="0" applyNumberFormat="1" applyFill="1" applyBorder="1"/>
    <xf numFmtId="0" fontId="12" fillId="4" borderId="0" xfId="22"/>
    <xf numFmtId="166" fontId="7" fillId="0" borderId="12" xfId="0" applyNumberFormat="1" applyFont="1" applyBorder="1" applyAlignment="1">
      <alignment horizontal="left" vertical="center"/>
    </xf>
    <xf numFmtId="0" fontId="3" fillId="0" borderId="15" xfId="0" applyFont="1" applyBorder="1"/>
    <xf numFmtId="1" fontId="0" fillId="15" borderId="0" xfId="0" applyNumberFormat="1" applyFill="1"/>
    <xf numFmtId="0" fontId="0" fillId="15" borderId="0" xfId="0" applyFill="1"/>
    <xf numFmtId="1" fontId="3" fillId="15" borderId="16" xfId="0" applyNumberFormat="1" applyFont="1" applyFill="1" applyBorder="1"/>
    <xf numFmtId="1" fontId="3" fillId="15" borderId="15" xfId="0" applyNumberFormat="1" applyFont="1" applyFill="1" applyBorder="1"/>
    <xf numFmtId="0" fontId="18" fillId="2" borderId="5" xfId="20" applyFont="1" applyBorder="1" applyAlignment="1">
      <alignment horizontal="left" wrapText="1"/>
    </xf>
    <xf numFmtId="0" fontId="3" fillId="14" borderId="11" xfId="0" applyFont="1" applyFill="1" applyBorder="1" applyAlignment="1">
      <alignment wrapText="1"/>
    </xf>
    <xf numFmtId="0" fontId="3" fillId="14" borderId="8" xfId="0" applyFont="1" applyFill="1" applyBorder="1" applyAlignment="1">
      <alignment wrapText="1"/>
    </xf>
    <xf numFmtId="9" fontId="8" fillId="15" borderId="11" xfId="15" applyFont="1" applyFill="1" applyBorder="1" applyAlignment="1">
      <alignment horizontal="left" vertical="center"/>
    </xf>
    <xf numFmtId="9" fontId="8" fillId="15" borderId="2" xfId="15" applyFont="1" applyFill="1" applyBorder="1" applyAlignment="1">
      <alignment horizontal="left" vertical="center"/>
    </xf>
    <xf numFmtId="9" fontId="8" fillId="15" borderId="12" xfId="15" applyFont="1" applyFill="1" applyBorder="1" applyAlignment="1">
      <alignment horizontal="left" vertical="center"/>
    </xf>
    <xf numFmtId="9" fontId="8" fillId="15" borderId="3" xfId="15" applyFont="1" applyFill="1" applyBorder="1" applyAlignment="1">
      <alignment horizontal="left" vertical="center"/>
    </xf>
    <xf numFmtId="9" fontId="15" fillId="8" borderId="2" xfId="15" applyFont="1" applyFill="1" applyBorder="1" applyAlignment="1">
      <alignment/>
    </xf>
    <xf numFmtId="9" fontId="15" fillId="8" borderId="17" xfId="15" applyFont="1" applyFill="1" applyBorder="1" applyAlignment="1">
      <alignment/>
    </xf>
    <xf numFmtId="9" fontId="15" fillId="8" borderId="3" xfId="15" applyFont="1" applyFill="1" applyBorder="1" applyAlignment="1">
      <alignment/>
    </xf>
    <xf numFmtId="9" fontId="15" fillId="8" borderId="15" xfId="15" applyFont="1" applyFill="1" applyBorder="1" applyAlignment="1">
      <alignment/>
    </xf>
    <xf numFmtId="9" fontId="0" fillId="0" borderId="0" xfId="39" applyFont="1" applyFill="1"/>
    <xf numFmtId="2" fontId="0" fillId="16" borderId="3" xfId="0" applyNumberFormat="1" applyFont="1" applyFill="1" applyBorder="1"/>
    <xf numFmtId="1" fontId="0" fillId="16" borderId="3" xfId="0" applyNumberFormat="1" applyFill="1" applyBorder="1"/>
    <xf numFmtId="2" fontId="0" fillId="16" borderId="3" xfId="0" applyNumberFormat="1" applyFill="1" applyBorder="1"/>
    <xf numFmtId="0" fontId="0" fillId="16" borderId="3" xfId="0" applyFill="1" applyBorder="1"/>
    <xf numFmtId="165" fontId="0" fillId="16" borderId="3" xfId="0" applyNumberFormat="1" applyFill="1" applyBorder="1"/>
    <xf numFmtId="1" fontId="1" fillId="12" borderId="3" xfId="21" applyNumberFormat="1" applyFont="1" applyFill="1" applyBorder="1" applyAlignment="1">
      <alignment horizontal="right" wrapText="1"/>
    </xf>
    <xf numFmtId="0" fontId="18" fillId="0" borderId="0" xfId="20" applyFont="1" applyFill="1" applyBorder="1" applyAlignment="1">
      <alignment horizontal="left" wrapText="1"/>
    </xf>
    <xf numFmtId="2" fontId="0" fillId="0" borderId="0" xfId="0" applyNumberFormat="1"/>
    <xf numFmtId="2" fontId="0" fillId="16" borderId="2" xfId="0" applyNumberFormat="1" applyFill="1" applyBorder="1"/>
    <xf numFmtId="0" fontId="3" fillId="14" borderId="13" xfId="0" applyFont="1" applyFill="1" applyBorder="1" applyAlignment="1">
      <alignment wrapText="1"/>
    </xf>
    <xf numFmtId="0" fontId="3" fillId="14" borderId="5" xfId="0" applyFont="1" applyFill="1" applyBorder="1" applyAlignment="1">
      <alignment wrapText="1"/>
    </xf>
    <xf numFmtId="0" fontId="3" fillId="14" borderId="6" xfId="0" applyFont="1" applyFill="1" applyBorder="1" applyAlignment="1">
      <alignment wrapText="1"/>
    </xf>
    <xf numFmtId="166" fontId="8" fillId="15" borderId="13" xfId="0" applyNumberFormat="1" applyFont="1" applyFill="1" applyBorder="1" applyAlignment="1">
      <alignment horizontal="center" vertical="center"/>
    </xf>
    <xf numFmtId="166" fontId="8" fillId="15" borderId="7" xfId="0" applyNumberFormat="1" applyFont="1" applyFill="1" applyBorder="1" applyAlignment="1">
      <alignment horizontal="center" vertical="center"/>
    </xf>
    <xf numFmtId="166" fontId="8" fillId="15" borderId="6" xfId="0" applyNumberFormat="1" applyFont="1" applyFill="1" applyBorder="1" applyAlignment="1">
      <alignment horizontal="center" vertical="center"/>
    </xf>
    <xf numFmtId="1" fontId="1" fillId="12" borderId="2" xfId="21" applyNumberFormat="1" applyFont="1" applyFill="1" applyBorder="1" applyAlignment="1">
      <alignment horizontal="center" wrapText="1"/>
    </xf>
    <xf numFmtId="1" fontId="1" fillId="12" borderId="4" xfId="21" applyNumberFormat="1" applyFont="1" applyFill="1" applyBorder="1" applyAlignment="1">
      <alignment horizontal="center" wrapText="1"/>
    </xf>
    <xf numFmtId="167" fontId="4" fillId="0" borderId="0" xfId="0" applyNumberFormat="1" applyFont="1"/>
    <xf numFmtId="167" fontId="0" fillId="0" borderId="0" xfId="0" applyNumberFormat="1" applyFont="1"/>
    <xf numFmtId="167" fontId="3" fillId="10" borderId="2" xfId="0" applyNumberFormat="1" applyFont="1" applyFill="1" applyBorder="1" applyAlignment="1">
      <alignment horizontal="left"/>
    </xf>
    <xf numFmtId="167" fontId="3" fillId="10" borderId="5" xfId="0" applyNumberFormat="1" applyFont="1" applyFill="1" applyBorder="1" applyAlignment="1">
      <alignment horizontal="left"/>
    </xf>
    <xf numFmtId="167" fontId="18" fillId="2" borderId="4" xfId="20" applyNumberFormat="1" applyFont="1" applyBorder="1" applyAlignment="1">
      <alignment horizontal="left" wrapText="1"/>
    </xf>
    <xf numFmtId="167" fontId="0" fillId="0" borderId="0" xfId="0" applyNumberFormat="1"/>
    <xf numFmtId="167" fontId="0" fillId="0" borderId="0" xfId="0" applyNumberFormat="1" applyAlignment="1">
      <alignment wrapText="1"/>
    </xf>
    <xf numFmtId="167" fontId="18" fillId="2" borderId="4" xfId="20" applyNumberFormat="1" applyFont="1" applyBorder="1" applyAlignment="1">
      <alignment horizontal="center" wrapText="1"/>
    </xf>
    <xf numFmtId="167" fontId="0" fillId="0" borderId="3" xfId="0" applyNumberFormat="1" applyBorder="1"/>
    <xf numFmtId="167" fontId="0" fillId="0" borderId="3" xfId="0" applyNumberFormat="1" applyFont="1" applyBorder="1"/>
    <xf numFmtId="167" fontId="0" fillId="0" borderId="18" xfId="0" applyNumberFormat="1" applyFont="1" applyBorder="1"/>
    <xf numFmtId="0" fontId="18" fillId="2" borderId="0" xfId="20" applyFont="1" applyBorder="1" applyAlignment="1">
      <alignment horizontal="left" wrapText="1"/>
    </xf>
  </cellXfs>
  <cellStyles count="2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20% - Accent5" xfId="20" builtinId="46"/>
    <cellStyle name="40% - Accent3" xfId="21" builtinId="39"/>
    <cellStyle name="60% - Accent2" xfId="22" builtinId="36"/>
    <cellStyle name="Accent2" xfId="23" builtinId="33"/>
    <cellStyle name="Calculation" xfId="24" builtinId="22"/>
    <cellStyle name="Comma 2" xfId="25"/>
    <cellStyle name="Good" xfId="26" builtinId="26"/>
    <cellStyle name="Input" xfId="27" builtinId="20"/>
    <cellStyle name="Neutral" xfId="28" builtinId="28"/>
    <cellStyle name="Normal 10" xfId="29"/>
    <cellStyle name="Normal 2" xfId="30"/>
    <cellStyle name="Normal 4" xfId="31"/>
    <cellStyle name="Normal 4 2" xfId="32"/>
    <cellStyle name="Normal 8" xfId="33"/>
    <cellStyle name="Normal 9 2" xfId="34"/>
    <cellStyle name="Normale_B2020" xfId="35"/>
    <cellStyle name="Percent 2" xfId="36"/>
    <cellStyle name="Percent 3" xfId="37"/>
    <cellStyle name="Percent 4" xfId="38"/>
    <cellStyle name="Percent 5" xfId="39"/>
    <cellStyle name="Standard_Sce_D_Extraction" xfId="4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theme" Target="theme/theme1.xml" /><Relationship Id="rId12" Type="http://schemas.openxmlformats.org/officeDocument/2006/relationships/calcChain" Target="calcChain.xml" /><Relationship Id="rId8" Type="http://schemas.openxmlformats.org/officeDocument/2006/relationships/worksheet" Target="worksheets/sheet6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11" Type="http://schemas.openxmlformats.org/officeDocument/2006/relationships/externalLink" Target="externalLinks/externalLink2.xml" /><Relationship Id="rId10" Type="http://schemas.openxmlformats.org/officeDocument/2006/relationships/externalLink" Target="externalLinks/externalLink1.xml" /><Relationship Id="rId5" Type="http://schemas.openxmlformats.org/officeDocument/2006/relationships/worksheet" Target="worksheets/sheet3.xml" /></Relationships>
</file>

<file path=xl/drawings/_rels/drawing2.xml.rels><?xml version="1.0" encoding="UTF-8" standalone="yes"?><Relationships xmlns="http://schemas.openxmlformats.org/package/2006/relationships"><Relationship Id="rId4" Type="http://schemas.openxmlformats.org/officeDocument/2006/relationships/image" Target="../media/image1.png" /><Relationship Id="rId2" Type="http://schemas.openxmlformats.org/officeDocument/2006/relationships/image" Target="../media/image4.png" /><Relationship Id="rId3" Type="http://schemas.openxmlformats.org/officeDocument/2006/relationships/image" Target="../media/image2.png" /><Relationship Id="rId1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5</xdr:col>
      <xdr:colOff>703367</xdr:colOff>
      <xdr:row>15</xdr:row>
      <xdr:rowOff>11430</xdr:rowOff>
    </xdr:from>
    <xdr:to>
      <xdr:col>11</xdr:col>
      <xdr:colOff>703367</xdr:colOff>
      <xdr:row>20</xdr:row>
      <xdr:rowOff>150451</xdr:rowOff>
    </xdr:to>
    <xdr:sp>
      <xdr:nvSpPr>
        <xdr:cNvPr id="2" name="TextBox 1">
          <a:extLst>
            <a:ext uri="{FF2B5EF4-FFF2-40B4-BE49-F238E27FC236}">
              <a16:creationId xmlns:a16="http://schemas.microsoft.com/office/drawing/2014/main" id="{743abd8a-4426-46db-bca6-04e5e9ee3061}"/>
            </a:ext>
          </a:extLst>
        </xdr:cNvPr>
        <xdr:cNvSpPr txBox="1"/>
      </xdr:nvSpPr>
      <xdr:spPr>
        <a:xfrm>
          <a:off x="5800725" y="2857500"/>
          <a:ext cx="4343400" cy="981075"/>
        </a:xfrm>
        <a:prstGeom prst="rect"/>
        <a:solidFill>
          <a:schemeClr val="accent6">
            <a:lumMod val="20000"/>
            <a:lumOff val="80000"/>
          </a:schemeClr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/>
          <a:r>
            <a:rPr lang="en-GB" sz="1100" b="1">
              <a:solidFill>
                <a:schemeClr val="tx1"/>
              </a:solidFill>
            </a:rPr>
            <a:t>Column B</a:t>
          </a:r>
          <a:r>
            <a:rPr lang="en-GB" sz="1100">
              <a:solidFill>
                <a:schemeClr val="tx1"/>
              </a:solidFill>
            </a:rPr>
            <a:t> (rows</a:t>
          </a:r>
          <a:r>
            <a:rPr lang="en-GB" sz="1100" baseline="0">
              <a:solidFill>
                <a:schemeClr val="tx1"/>
              </a:solidFill>
            </a:rPr>
            <a:t> 5 -24) is used to set up the technology and commoditiy names and descriptions in the model.</a:t>
          </a:r>
        </a:p>
        <a:p>
          <a:endParaRPr lang="en-GB" sz="1100" baseline="0"/>
        </a:p>
        <a:p>
          <a:r>
            <a:rPr lang="en-GB" sz="1100" baseline="0">
              <a:solidFill>
                <a:schemeClr val="tx1"/>
              </a:solidFill>
            </a:rPr>
            <a:t>Row 2 and Row 3 are used to build  techology and commodity names and descriptions in the model.</a:t>
          </a:r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5</xdr:row>
      <xdr:rowOff>19050</xdr:rowOff>
    </xdr:from>
    <xdr:to>
      <xdr:col>2</xdr:col>
      <xdr:colOff>285750</xdr:colOff>
      <xdr:row>18</xdr:row>
      <xdr:rowOff>152400</xdr:rowOff>
    </xdr:to>
    <xdr:pic>
      <xdr:nvPicPr>
        <xdr:cNvPr id="57161" name="Picture 6">
          <a:extLst>
            <a:ext uri="{FF2B5EF4-FFF2-40B4-BE49-F238E27FC236}">
              <a16:creationId xmlns:a16="http://schemas.microsoft.com/office/drawing/2014/main" id="{1155a37f-2001-49db-bee2-a8b250ffcb37}"/>
            </a:ext>
          </a:extLst>
        </xdr:cNvPr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123825" y="895350"/>
          <a:ext cx="800100" cy="22383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116</xdr:row>
      <xdr:rowOff>9525</xdr:rowOff>
    </xdr:from>
    <xdr:to>
      <xdr:col>9</xdr:col>
      <xdr:colOff>371475</xdr:colOff>
      <xdr:row>127</xdr:row>
      <xdr:rowOff>133350</xdr:rowOff>
    </xdr:to>
    <xdr:pic>
      <xdr:nvPicPr>
        <xdr:cNvPr id="57162" name="Picture 8">
          <a:extLst>
            <a:ext uri="{FF2B5EF4-FFF2-40B4-BE49-F238E27FC236}">
              <a16:creationId xmlns:a16="http://schemas.microsoft.com/office/drawing/2014/main" id="{a47e3f4e-f580-4e26-95bf-99ae0bf4aa23}"/>
            </a:ext>
          </a:extLst>
        </xdr:cNvPr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1095375" y="18859500"/>
          <a:ext cx="4029075" cy="19050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8</xdr:col>
      <xdr:colOff>66675</xdr:colOff>
      <xdr:row>30</xdr:row>
      <xdr:rowOff>47625</xdr:rowOff>
    </xdr:to>
    <xdr:pic>
      <xdr:nvPicPr>
        <xdr:cNvPr id="57163" name="Picture 4">
          <a:extLst>
            <a:ext uri="{FF2B5EF4-FFF2-40B4-BE49-F238E27FC236}">
              <a16:creationId xmlns:a16="http://schemas.microsoft.com/office/drawing/2014/main" id="{2838db47-3fa6-434d-9325-e54a4de3b1e4}"/>
            </a:ext>
          </a:extLst>
        </xdr:cNvPr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1095375" y="1038225"/>
          <a:ext cx="3114675" cy="39338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30</xdr:row>
      <xdr:rowOff>47625</xdr:rowOff>
    </xdr:from>
    <xdr:to>
      <xdr:col>8</xdr:col>
      <xdr:colOff>66675</xdr:colOff>
      <xdr:row>54</xdr:row>
      <xdr:rowOff>9525</xdr:rowOff>
    </xdr:to>
    <xdr:pic>
      <xdr:nvPicPr>
        <xdr:cNvPr id="57164" name="Picture 5">
          <a:extLst>
            <a:ext uri="{FF2B5EF4-FFF2-40B4-BE49-F238E27FC236}">
              <a16:creationId xmlns:a16="http://schemas.microsoft.com/office/drawing/2014/main" id="{e3cf8021-41d1-41fd-b20a-075608644f0e}"/>
            </a:ext>
          </a:extLst>
        </xdr:cNvPr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1095375" y="4972050"/>
          <a:ext cx="3114675" cy="38481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9</xdr:col>
      <xdr:colOff>822960</xdr:colOff>
      <xdr:row>31</xdr:row>
      <xdr:rowOff>0</xdr:rowOff>
    </xdr:from>
    <xdr:to>
      <xdr:col>14</xdr:col>
      <xdr:colOff>398145</xdr:colOff>
      <xdr:row>37</xdr:row>
      <xdr:rowOff>9525</xdr:rowOff>
    </xdr:to>
    <xdr:sp>
      <xdr:nvSpPr>
        <xdr:cNvPr id="2" name="TextBox 1">
          <a:extLst>
            <a:ext uri="{FF2B5EF4-FFF2-40B4-BE49-F238E27FC236}">
              <a16:creationId xmlns:a16="http://schemas.microsoft.com/office/drawing/2014/main" id="{b22a26e7-fce3-4d13-8d7d-391825f2511d}"/>
            </a:ext>
          </a:extLst>
        </xdr:cNvPr>
        <xdr:cNvSpPr txBox="1"/>
      </xdr:nvSpPr>
      <xdr:spPr>
        <a:xfrm>
          <a:off x="6524625" y="5372100"/>
          <a:ext cx="6457950" cy="981075"/>
        </a:xfrm>
        <a:prstGeom prst="rect"/>
        <a:solidFill>
          <a:schemeClr val="accent6">
            <a:lumMod val="20000"/>
            <a:lumOff val="80000"/>
          </a:schemeClr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Declare sectoral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energy commodities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(FI_COMM table) and define each ssectoral fuel technology option (FI_Process table).</a:t>
          </a:r>
        </a:p>
        <a:p>
          <a:pPr lvl="0"/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 a fuel technology to convert the fuel commodity name from the supply sector to a sectoral specific fuel commodity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(e.g. from GAS to RSDGAS)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14</xdr:col>
      <xdr:colOff>10583</xdr:colOff>
      <xdr:row>26</xdr:row>
      <xdr:rowOff>95250</xdr:rowOff>
    </xdr:from>
    <xdr:to>
      <xdr:col>17</xdr:col>
      <xdr:colOff>3864838</xdr:colOff>
      <xdr:row>33</xdr:row>
      <xdr:rowOff>12700</xdr:rowOff>
    </xdr:to>
    <xdr:sp>
      <xdr:nvSpPr>
        <xdr:cNvPr id="2" name="TextBox 1">
          <a:extLst>
            <a:ext uri="{FF2B5EF4-FFF2-40B4-BE49-F238E27FC236}">
              <a16:creationId xmlns:a16="http://schemas.microsoft.com/office/drawing/2014/main" id="{8d0f848d-e838-455e-b3d6-869d4f0572d4}"/>
            </a:ext>
          </a:extLst>
        </xdr:cNvPr>
        <xdr:cNvSpPr txBox="1"/>
      </xdr:nvSpPr>
      <xdr:spPr>
        <a:xfrm>
          <a:off x="9877425" y="4933950"/>
          <a:ext cx="5895975" cy="1047750"/>
        </a:xfrm>
        <a:prstGeom prst="rect"/>
        <a:solidFill>
          <a:schemeClr val="accent6">
            <a:lumMod val="20000"/>
            <a:lumOff val="80000"/>
          </a:schemeClr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Declare  demand car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and public transport 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sector. Two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demand commodities and  transport carbon dioxide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 environmental commodity (FI_COMM table) and define demand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options (FI_Process table).</a:t>
          </a:r>
        </a:p>
        <a:p>
          <a:pPr lvl="0"/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 demand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technologies to deliver the transport car demand.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19050</xdr:colOff>
      <xdr:row>17</xdr:row>
      <xdr:rowOff>28575</xdr:rowOff>
    </xdr:from>
    <xdr:to>
      <xdr:col>5</xdr:col>
      <xdr:colOff>19050</xdr:colOff>
      <xdr:row>20</xdr:row>
      <xdr:rowOff>142875</xdr:rowOff>
    </xdr:to>
    <xdr:sp>
      <xdr:nvSpPr>
        <xdr:cNvPr id="2" name="TextBox 1">
          <a:extLst>
            <a:ext uri="{FF2B5EF4-FFF2-40B4-BE49-F238E27FC236}">
              <a16:creationId xmlns:a16="http://schemas.microsoft.com/office/drawing/2014/main" id="{f731caed-5751-4de0-9dbd-659456cabf21}"/>
            </a:ext>
          </a:extLst>
        </xdr:cNvPr>
        <xdr:cNvSpPr txBox="1"/>
      </xdr:nvSpPr>
      <xdr:spPr>
        <a:xfrm>
          <a:off x="152400" y="2981325"/>
          <a:ext cx="3238500" cy="600075"/>
        </a:xfrm>
        <a:prstGeom prst="rect"/>
        <a:solidFill>
          <a:schemeClr val="accent6">
            <a:lumMod val="20000"/>
            <a:lumOff val="80000"/>
          </a:schemeClr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Define the demand value for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each period and the commodity fraction for the electricity commodity demand by timeslice.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12</xdr:row>
      <xdr:rowOff>0</xdr:rowOff>
    </xdr:from>
    <xdr:to>
      <xdr:col>7</xdr:col>
      <xdr:colOff>381000</xdr:colOff>
      <xdr:row>15</xdr:row>
      <xdr:rowOff>66675</xdr:rowOff>
    </xdr:to>
    <xdr:sp>
      <xdr:nvSpPr>
        <xdr:cNvPr id="2" name="TextBox 1">
          <a:extLst>
            <a:ext uri="{FF2B5EF4-FFF2-40B4-BE49-F238E27FC236}">
              <a16:creationId xmlns:a16="http://schemas.microsoft.com/office/drawing/2014/main" id="{68b7a0c2-6705-4d77-8a9c-0a9aec58235e}"/>
            </a:ext>
          </a:extLst>
        </xdr:cNvPr>
        <xdr:cNvSpPr txBox="1"/>
      </xdr:nvSpPr>
      <xdr:spPr>
        <a:xfrm>
          <a:off x="609600" y="2143125"/>
          <a:ext cx="4391025" cy="552450"/>
        </a:xfrm>
        <a:prstGeom prst="rect"/>
        <a:solidFill>
          <a:schemeClr val="accent6">
            <a:lumMod val="20000"/>
            <a:lumOff val="80000"/>
          </a:schemeClr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Define transport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carbon dioxide emission coefficients for each unit of fuel commodity consumed.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\\Wolfgang\c\temphold\TMPL_RES.xls" TargetMode="External" /></Relationships>
</file>

<file path=xl/externalLinks/_rels/externalLink2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Z:\\HarishKumar\veda-testing-model-private\main~~52bb8cfb-ee00-4b26-bdb9-912ab73e6e2c~~082626_122106\EnergyBalanc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EnergyBalance"/>
      <sheetName val="EB1"/>
      <sheetName val="EB2"/>
      <sheetName val="RES&amp;OBJ"/>
    </sheetNames>
    <sheetDataSet>
      <sheetData sheetId="0"/>
      <sheetData sheetId="1">
        <row r="16">
          <cell r="D16">
            <v>231.76075</v>
          </cell>
          <cell r="E16">
            <v>2063.9172</v>
          </cell>
          <cell r="G16">
            <v>862.053</v>
          </cell>
          <cell r="H16">
            <v>72.9495</v>
          </cell>
          <cell r="I16">
            <v>190.176</v>
          </cell>
          <cell r="J16">
            <v>3.168</v>
          </cell>
          <cell r="K16">
            <v>0</v>
          </cell>
          <cell r="L16">
            <v>15.38</v>
          </cell>
          <cell r="M16">
            <v>0.92</v>
          </cell>
          <cell r="N16">
            <v>0</v>
          </cell>
          <cell r="O16">
            <v>895.44525</v>
          </cell>
          <cell r="P16">
            <v>0</v>
          </cell>
          <cell r="Q16">
            <v>0</v>
          </cell>
          <cell r="R16">
            <v>50</v>
          </cell>
          <cell r="S16">
            <v>0</v>
          </cell>
          <cell r="T16">
            <v>432.7425</v>
          </cell>
          <cell r="U16">
            <v>1435.871</v>
          </cell>
        </row>
        <row r="17">
          <cell r="D17">
            <v>37.00125</v>
          </cell>
          <cell r="E17">
            <v>700.692</v>
          </cell>
          <cell r="G17">
            <v>368.844</v>
          </cell>
          <cell r="H17">
            <v>1.677</v>
          </cell>
          <cell r="I17">
            <v>31.602</v>
          </cell>
          <cell r="J17">
            <v>5.72</v>
          </cell>
          <cell r="K17">
            <v>0</v>
          </cell>
          <cell r="L17">
            <v>19.32</v>
          </cell>
          <cell r="M17">
            <v>0.242</v>
          </cell>
          <cell r="N17">
            <v>0</v>
          </cell>
          <cell r="O17">
            <v>39</v>
          </cell>
          <cell r="P17">
            <v>0</v>
          </cell>
          <cell r="Q17">
            <v>0</v>
          </cell>
          <cell r="R17">
            <v>7.5</v>
          </cell>
          <cell r="S17">
            <v>0.6085</v>
          </cell>
          <cell r="T17">
            <v>127.323</v>
          </cell>
          <cell r="U17">
            <v>1263.6955</v>
          </cell>
        </row>
        <row r="18">
          <cell r="D18">
            <v>1233.0409</v>
          </cell>
          <cell r="E18">
            <v>1774.8644</v>
          </cell>
          <cell r="G18">
            <v>298.68</v>
          </cell>
          <cell r="H18">
            <v>36.3565</v>
          </cell>
          <cell r="I18">
            <v>142.9715</v>
          </cell>
          <cell r="J18">
            <v>7.766</v>
          </cell>
          <cell r="K18">
            <v>44.066</v>
          </cell>
          <cell r="L18">
            <v>286.0505</v>
          </cell>
          <cell r="M18">
            <v>191.573</v>
          </cell>
          <cell r="N18">
            <v>0</v>
          </cell>
          <cell r="O18">
            <v>541.25325</v>
          </cell>
          <cell r="P18">
            <v>0</v>
          </cell>
          <cell r="Q18">
            <v>0</v>
          </cell>
          <cell r="R18">
            <v>0</v>
          </cell>
          <cell r="S18">
            <v>58.596</v>
          </cell>
          <cell r="T18">
            <v>316.7915</v>
          </cell>
          <cell r="U18">
            <v>2044.222</v>
          </cell>
        </row>
        <row r="19">
          <cell r="G19">
            <v>366.588</v>
          </cell>
          <cell r="H19">
            <v>0.473</v>
          </cell>
          <cell r="I19">
            <v>16.169</v>
          </cell>
          <cell r="J19">
            <v>1.716</v>
          </cell>
          <cell r="K19">
            <v>0</v>
          </cell>
          <cell r="L19">
            <v>13.74</v>
          </cell>
          <cell r="M19">
            <v>0</v>
          </cell>
          <cell r="N19">
            <v>0</v>
          </cell>
          <cell r="O19">
            <v>47.3145</v>
          </cell>
          <cell r="P19">
            <v>0</v>
          </cell>
          <cell r="Q19">
            <v>0</v>
          </cell>
          <cell r="R19">
            <v>0</v>
          </cell>
          <cell r="S19">
            <v>0.0005</v>
          </cell>
          <cell r="T19">
            <v>7.787</v>
          </cell>
          <cell r="U19">
            <v>9.693</v>
          </cell>
        </row>
        <row r="20">
          <cell r="D20">
            <v>0.3614</v>
          </cell>
          <cell r="E20">
            <v>8.4996</v>
          </cell>
          <cell r="G20">
            <v>3856.2855</v>
          </cell>
          <cell r="H20">
            <v>1047.652</v>
          </cell>
          <cell r="I20">
            <v>94.231</v>
          </cell>
          <cell r="J20">
            <v>2394.216</v>
          </cell>
          <cell r="K20">
            <v>0</v>
          </cell>
          <cell r="L20">
            <v>33.24</v>
          </cell>
          <cell r="M20">
            <v>0</v>
          </cell>
          <cell r="N20">
            <v>0</v>
          </cell>
          <cell r="O20">
            <v>120.75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132.986</v>
          </cell>
        </row>
        <row r="21">
          <cell r="D21">
            <v>773.000149999999</v>
          </cell>
          <cell r="E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313.519</v>
          </cell>
          <cell r="U21">
            <v>325</v>
          </cell>
        </row>
        <row r="22">
          <cell r="D22">
            <v>34.09445</v>
          </cell>
          <cell r="E22">
            <v>253.5292</v>
          </cell>
          <cell r="G22">
            <v>76.465</v>
          </cell>
          <cell r="H22">
            <v>4.7945</v>
          </cell>
          <cell r="I22">
            <v>199.8735</v>
          </cell>
          <cell r="J22">
            <v>3.146</v>
          </cell>
          <cell r="K22">
            <v>899.206</v>
          </cell>
          <cell r="L22">
            <v>52.04</v>
          </cell>
          <cell r="M22">
            <v>800.729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D23">
            <v>0</v>
          </cell>
          <cell r="E23">
            <v>0</v>
          </cell>
          <cell r="G23">
            <v>146.906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902.14</v>
          </cell>
          <cell r="M23">
            <v>6.5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1.vml" /><Relationship Id="rId1" Type="http://schemas.openxmlformats.org/officeDocument/2006/relationships/comments" Target="../comments1.xml" 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 /><Relationship Id="rId1" Type="http://schemas.openxmlformats.org/officeDocument/2006/relationships/drawing" Target="../drawings/drawing2.xml" /></Relationships>
</file>

<file path=xl/worksheets/_rels/sheet3.xml.rels><?xml version="1.0" encoding="UTF-8" standalone="yes"?><Relationships xmlns="http://schemas.openxmlformats.org/package/2006/relationships"><Relationship Id="rId4" Type="http://schemas.openxmlformats.org/officeDocument/2006/relationships/printerSettings" Target="../printerSettings/printerSettings2.bin" /><Relationship Id="rId2" Type="http://schemas.openxmlformats.org/officeDocument/2006/relationships/drawing" Target="../drawings/drawing3.xml" /><Relationship Id="rId3" Type="http://schemas.openxmlformats.org/officeDocument/2006/relationships/vmlDrawing" Target="../drawings/vmlDrawing2.vml" /><Relationship Id="rId1" Type="http://schemas.openxmlformats.org/officeDocument/2006/relationships/comments" Target="../comments3.xml" 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4.xml" /><Relationship Id="rId3" Type="http://schemas.openxmlformats.org/officeDocument/2006/relationships/vmlDrawing" Target="../drawings/vmlDrawing3.vml" /><Relationship Id="rId1" Type="http://schemas.openxmlformats.org/officeDocument/2006/relationships/comments" Target="../comments4.xml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A31"/>
  <sheetViews>
    <sheetView zoomScale="80" zoomScaleNormal="80" workbookViewId="0" topLeftCell="A1">
      <selection pane="topLeft" activeCell="D9" sqref="D9:U9"/>
    </sheetView>
  </sheetViews>
  <sheetFormatPr defaultRowHeight="12.75"/>
  <cols>
    <col min="1" max="1" width="3" bestFit="1" customWidth="1"/>
    <col min="2" max="2" width="18.4285714285714" bestFit="1" customWidth="1"/>
    <col min="3" max="3" width="33.2857142857143" customWidth="1"/>
    <col min="4" max="21" width="10.8571428571429" customWidth="1"/>
    <col min="22" max="22" width="7.28571428571429" bestFit="1" customWidth="1"/>
    <col min="23" max="23" width="2" bestFit="1" customWidth="1"/>
    <col min="24" max="24" width="12.5714285714286" bestFit="1" customWidth="1"/>
    <col min="26" max="26" width="6.71428571428571" bestFit="1" customWidth="1"/>
    <col min="27" max="27" width="9.28571428571429" bestFit="1" customWidth="1"/>
    <col min="28" max="28" width="2" bestFit="1" customWidth="1"/>
  </cols>
  <sheetData>
    <row r="1" spans="24:27" ht="12.75">
      <c r="X1" s="20" t="s">
        <v>93</v>
      </c>
      <c r="Y1" s="1" t="s">
        <v>94</v>
      </c>
      <c r="Z1" s="1" t="s">
        <v>95</v>
      </c>
      <c r="AA1" s="1" t="s">
        <v>103</v>
      </c>
    </row>
    <row r="2" spans="4:27" ht="15.75">
      <c r="D2" s="41" t="s">
        <v>44</v>
      </c>
      <c r="E2" s="41" t="s">
        <v>45</v>
      </c>
      <c r="F2" s="41" t="s">
        <v>46</v>
      </c>
      <c r="G2" s="41" t="s">
        <v>129</v>
      </c>
      <c r="H2" s="41" t="s">
        <v>130</v>
      </c>
      <c r="I2" s="41" t="s">
        <v>131</v>
      </c>
      <c r="J2" s="41" t="s">
        <v>132</v>
      </c>
      <c r="K2" s="41" t="s">
        <v>133</v>
      </c>
      <c r="L2" s="41" t="s">
        <v>134</v>
      </c>
      <c r="M2" s="41" t="s">
        <v>135</v>
      </c>
      <c r="N2" s="41" t="s">
        <v>47</v>
      </c>
      <c r="O2" s="41" t="s">
        <v>167</v>
      </c>
      <c r="P2" s="41" t="s">
        <v>168</v>
      </c>
      <c r="Q2" s="41" t="s">
        <v>169</v>
      </c>
      <c r="R2" s="41" t="s">
        <v>170</v>
      </c>
      <c r="S2" s="41" t="s">
        <v>48</v>
      </c>
      <c r="T2" s="41" t="s">
        <v>49</v>
      </c>
      <c r="U2" s="41" t="s">
        <v>50</v>
      </c>
      <c r="V2" s="41" t="s">
        <v>175</v>
      </c>
      <c r="Y2" s="40" t="s">
        <v>156</v>
      </c>
      <c r="Z2" s="10" t="s">
        <v>76</v>
      </c>
      <c r="AA2" s="10" t="s">
        <v>104</v>
      </c>
    </row>
    <row r="3" spans="3:22" ht="38.25">
      <c r="C3" s="61" t="s">
        <v>126</v>
      </c>
      <c r="D3" s="42" t="s">
        <v>51</v>
      </c>
      <c r="E3" s="42" t="s">
        <v>52</v>
      </c>
      <c r="F3" s="42" t="s">
        <v>128</v>
      </c>
      <c r="G3" s="42" t="s">
        <v>141</v>
      </c>
      <c r="H3" s="42" t="s">
        <v>138</v>
      </c>
      <c r="I3" s="42" t="s">
        <v>131</v>
      </c>
      <c r="J3" s="42" t="s">
        <v>139</v>
      </c>
      <c r="K3" s="42" t="s">
        <v>140</v>
      </c>
      <c r="L3" s="42" t="s">
        <v>136</v>
      </c>
      <c r="M3" s="42" t="s">
        <v>137</v>
      </c>
      <c r="N3" s="42" t="s">
        <v>53</v>
      </c>
      <c r="O3" s="42" t="s">
        <v>176</v>
      </c>
      <c r="P3" s="42" t="s">
        <v>172</v>
      </c>
      <c r="Q3" s="42" t="s">
        <v>173</v>
      </c>
      <c r="R3" s="42" t="s">
        <v>174</v>
      </c>
      <c r="S3" s="42" t="s">
        <v>54</v>
      </c>
      <c r="T3" s="42" t="s">
        <v>55</v>
      </c>
      <c r="U3" s="42" t="s">
        <v>88</v>
      </c>
      <c r="V3" s="42" t="s">
        <v>56</v>
      </c>
    </row>
    <row r="4" spans="2:22" ht="12.75">
      <c r="B4" s="39"/>
      <c r="C4" s="81" t="s">
        <v>57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82"/>
    </row>
    <row r="5" spans="2:22" ht="12.75">
      <c r="B5" s="43" t="s">
        <v>58</v>
      </c>
      <c r="C5" s="51" t="s">
        <v>59</v>
      </c>
      <c r="D5" s="83">
        <f>'[2]EB1'!D16</f>
        <v>231.76075</v>
      </c>
      <c r="E5" s="83">
        <f>'[2]EB1'!E16</f>
        <v>2063.9171999999999</v>
      </c>
      <c r="F5" s="83">
        <f>'[2]EB1'!F16</f>
        <v>0</v>
      </c>
      <c r="G5" s="83">
        <f>'[2]EB1'!G16</f>
        <v>862.053</v>
      </c>
      <c r="H5" s="83">
        <f>'[2]EB1'!H16</f>
        <v>72.9495</v>
      </c>
      <c r="I5" s="83">
        <f>'[2]EB1'!I16</f>
        <v>190.17599999999999</v>
      </c>
      <c r="J5" s="83">
        <f>'[2]EB1'!J16</f>
        <v>3.1680000000000001</v>
      </c>
      <c r="K5" s="83">
        <f>'[2]EB1'!K16</f>
        <v>0</v>
      </c>
      <c r="L5" s="83">
        <f>'[2]EB1'!L16</f>
        <v>15.380000000000001</v>
      </c>
      <c r="M5" s="83">
        <f>'[2]EB1'!M16</f>
        <v>0.92000000000000004</v>
      </c>
      <c r="N5" s="84">
        <f>'[2]EB1'!N16</f>
        <v>0</v>
      </c>
      <c r="O5" s="83">
        <f>'[2]EB1'!O16</f>
        <v>895.44524999999999</v>
      </c>
      <c r="P5" s="83">
        <f>'[2]EB1'!P16</f>
        <v>0</v>
      </c>
      <c r="Q5" s="83">
        <f>'[2]EB1'!Q16</f>
        <v>0</v>
      </c>
      <c r="R5" s="83">
        <f>'[2]EB1'!R16</f>
        <v>50</v>
      </c>
      <c r="S5" s="83">
        <f>'[2]EB1'!S16</f>
        <v>0</v>
      </c>
      <c r="T5" s="83">
        <f>'[2]EB1'!T16</f>
        <v>432.74250000000001</v>
      </c>
      <c r="U5" s="83">
        <f>'[2]EB1'!U16</f>
        <v>1435.8710000000001</v>
      </c>
      <c r="V5" s="85">
        <f>SUM(D5:U5)</f>
        <v>6254.3832000000002</v>
      </c>
    </row>
    <row r="6" spans="2:22" ht="12.75">
      <c r="B6" s="43" t="s">
        <v>60</v>
      </c>
      <c r="C6" s="52" t="s">
        <v>61</v>
      </c>
      <c r="D6" s="83">
        <f>'[2]EB1'!D17</f>
        <v>37.001249999999999</v>
      </c>
      <c r="E6" s="83">
        <f>'[2]EB1'!E17</f>
        <v>700.69200000000001</v>
      </c>
      <c r="F6" s="83">
        <f>'[2]EB1'!F17</f>
        <v>0</v>
      </c>
      <c r="G6" s="83">
        <f>'[2]EB1'!G17</f>
        <v>368.84399999999999</v>
      </c>
      <c r="H6" s="83">
        <f>'[2]EB1'!H17</f>
        <v>1.677</v>
      </c>
      <c r="I6" s="83">
        <f>'[2]EB1'!I17</f>
        <v>31.602</v>
      </c>
      <c r="J6" s="83">
        <f>'[2]EB1'!J17</f>
        <v>5.7199999999999998</v>
      </c>
      <c r="K6" s="83">
        <f>'[2]EB1'!K17</f>
        <v>0</v>
      </c>
      <c r="L6" s="83">
        <f>'[2]EB1'!L17</f>
        <v>19.32</v>
      </c>
      <c r="M6" s="83">
        <f>'[2]EB1'!M17</f>
        <v>0.24199999999999999</v>
      </c>
      <c r="N6" s="84">
        <f>'[2]EB1'!N17</f>
        <v>0</v>
      </c>
      <c r="O6" s="83">
        <f>'[2]EB1'!O17</f>
        <v>39</v>
      </c>
      <c r="P6" s="83">
        <f>'[2]EB1'!P17</f>
        <v>0</v>
      </c>
      <c r="Q6" s="83">
        <f>'[2]EB1'!Q17</f>
        <v>0</v>
      </c>
      <c r="R6" s="83">
        <f>'[2]EB1'!R17</f>
        <v>7.5</v>
      </c>
      <c r="S6" s="83">
        <f>'[2]EB1'!S17</f>
        <v>0.60850000000000004</v>
      </c>
      <c r="T6" s="83">
        <f>'[2]EB1'!T17</f>
        <v>127.32299999999999</v>
      </c>
      <c r="U6" s="83">
        <f>'[2]EB1'!U17</f>
        <v>1263.6955</v>
      </c>
      <c r="V6" s="85">
        <f t="shared" si="0" ref="V6:V12">SUM(D6:U6)</f>
        <v>2603.2252500000004</v>
      </c>
    </row>
    <row r="7" spans="2:22" ht="12.75">
      <c r="B7" s="43" t="s">
        <v>62</v>
      </c>
      <c r="C7" s="52" t="s">
        <v>63</v>
      </c>
      <c r="D7" s="83">
        <f>'[2]EB1'!D18</f>
        <v>1233.0409000000002</v>
      </c>
      <c r="E7" s="83">
        <f>'[2]EB1'!E18</f>
        <v>1774.8644000000002</v>
      </c>
      <c r="F7" s="83">
        <f>'[2]EB1'!F18</f>
        <v>0</v>
      </c>
      <c r="G7" s="83">
        <f>'[2]EB1'!G18</f>
        <v>298.68000000000001</v>
      </c>
      <c r="H7" s="83">
        <f>'[2]EB1'!H18</f>
        <v>36.356499999999997</v>
      </c>
      <c r="I7" s="83">
        <f>'[2]EB1'!I18</f>
        <v>142.97149999999999</v>
      </c>
      <c r="J7" s="83">
        <f>'[2]EB1'!J18</f>
        <v>7.766</v>
      </c>
      <c r="K7" s="83">
        <f>'[2]EB1'!K18</f>
        <v>44.066000000000003</v>
      </c>
      <c r="L7" s="83">
        <f>'[2]EB1'!L18</f>
        <v>286.0505</v>
      </c>
      <c r="M7" s="83">
        <f>'[2]EB1'!M18</f>
        <v>191.57300000000001</v>
      </c>
      <c r="N7" s="84">
        <f>'[2]EB1'!N18</f>
        <v>0</v>
      </c>
      <c r="O7" s="83">
        <f>'[2]EB1'!O18</f>
        <v>541.25324999999998</v>
      </c>
      <c r="P7" s="83">
        <f>'[2]EB1'!P18</f>
        <v>0</v>
      </c>
      <c r="Q7" s="83">
        <f>'[2]EB1'!Q18</f>
        <v>0</v>
      </c>
      <c r="R7" s="83">
        <f>'[2]EB1'!R18</f>
        <v>0</v>
      </c>
      <c r="S7" s="83">
        <f>'[2]EB1'!S18</f>
        <v>58.595999999999997</v>
      </c>
      <c r="T7" s="83">
        <f>'[2]EB1'!T18</f>
        <v>316.79149999999998</v>
      </c>
      <c r="U7" s="83">
        <f>'[2]EB1'!U18</f>
        <v>2044.222</v>
      </c>
      <c r="V7" s="85">
        <f t="shared" si="0"/>
        <v>6976.2315499999995</v>
      </c>
    </row>
    <row r="8" spans="2:22" ht="12.75">
      <c r="B8" s="43" t="s">
        <v>64</v>
      </c>
      <c r="C8" s="52" t="s">
        <v>65</v>
      </c>
      <c r="D8" s="83">
        <f>'[2]EB1'!D19</f>
        <v>28.665000000000003</v>
      </c>
      <c r="E8" s="83">
        <f>'[2]EB1'!E19</f>
        <v>80.482399999999998</v>
      </c>
      <c r="F8" s="83">
        <f>'[2]EB1'!F19</f>
        <v>0</v>
      </c>
      <c r="G8" s="83">
        <f>'[2]EB1'!G19</f>
        <v>366.58800000000002</v>
      </c>
      <c r="H8" s="83">
        <f>'[2]EB1'!H19</f>
        <v>0.47299999999999998</v>
      </c>
      <c r="I8" s="83">
        <f>'[2]EB1'!I19</f>
        <v>16.169</v>
      </c>
      <c r="J8" s="83">
        <f>'[2]EB1'!J19</f>
        <v>1.716</v>
      </c>
      <c r="K8" s="83">
        <f>'[2]EB1'!K19</f>
        <v>0</v>
      </c>
      <c r="L8" s="83">
        <f>'[2]EB1'!L19</f>
        <v>13.74</v>
      </c>
      <c r="M8" s="83">
        <f>'[2]EB1'!M19</f>
        <v>0</v>
      </c>
      <c r="N8" s="84">
        <f>'[2]EB1'!N19</f>
        <v>0</v>
      </c>
      <c r="O8" s="83">
        <f>'[2]EB1'!O19</f>
        <v>47.314499999999995</v>
      </c>
      <c r="P8" s="83">
        <f>'[2]EB1'!P19</f>
        <v>0</v>
      </c>
      <c r="Q8" s="83">
        <f>'[2]EB1'!Q19</f>
        <v>0</v>
      </c>
      <c r="R8" s="83">
        <f>'[2]EB1'!R19</f>
        <v>0</v>
      </c>
      <c r="S8" s="83">
        <f>'[2]EB1'!S19</f>
        <v>0.00050000000000000001</v>
      </c>
      <c r="T8" s="83">
        <f>'[2]EB1'!T19</f>
        <v>7.7869999999999999</v>
      </c>
      <c r="U8" s="83">
        <f>'[2]EB1'!U19</f>
        <v>9.6930000000000014</v>
      </c>
      <c r="V8" s="85">
        <f t="shared" si="0"/>
        <v>572.62840000000006</v>
      </c>
    </row>
    <row r="9" spans="2:22" ht="15">
      <c r="B9" s="43" t="s">
        <v>66</v>
      </c>
      <c r="C9" s="52" t="s">
        <v>67</v>
      </c>
      <c r="D9" s="83">
        <f>'[2]EB1'!D20</f>
        <v>0.36140000000000005</v>
      </c>
      <c r="E9" s="47">
        <f>'[2]EB1'!E20</f>
        <v>8.4995999999999992</v>
      </c>
      <c r="F9" s="83">
        <f>'[2]EB1'!F20</f>
        <v>0</v>
      </c>
      <c r="G9" s="47">
        <f>'[2]EB1'!G20</f>
        <v>3856.2855</v>
      </c>
      <c r="H9" s="83">
        <f>'[2]EB1'!H20</f>
        <v>1047.652</v>
      </c>
      <c r="I9" s="47">
        <f>'[2]EB1'!I20</f>
        <v>94.230999999999995</v>
      </c>
      <c r="J9" s="47">
        <f>'[2]EB1'!J20</f>
        <v>2394.2159999999999</v>
      </c>
      <c r="K9" s="83">
        <f>'[2]EB1'!K20</f>
        <v>0</v>
      </c>
      <c r="L9" s="83">
        <f>'[2]EB1'!L20</f>
        <v>33.240000000000002</v>
      </c>
      <c r="M9" s="83">
        <f>'[2]EB1'!M20</f>
        <v>0</v>
      </c>
      <c r="N9" s="83">
        <f>'[2]EB1'!N20</f>
        <v>0</v>
      </c>
      <c r="O9" s="47">
        <f>'[2]EB1'!O20</f>
        <v>120.75</v>
      </c>
      <c r="P9" s="83">
        <f>'[2]EB1'!P20</f>
        <v>0</v>
      </c>
      <c r="Q9" s="83">
        <f>'[2]EB1'!Q20</f>
        <v>0</v>
      </c>
      <c r="R9" s="83">
        <f>'[2]EB1'!R20</f>
        <v>0</v>
      </c>
      <c r="S9" s="83">
        <f>'[2]EB1'!S20</f>
        <v>0</v>
      </c>
      <c r="T9" s="83">
        <f>'[2]EB1'!T20</f>
        <v>0</v>
      </c>
      <c r="U9" s="47">
        <f>'[2]EB1'!U20</f>
        <v>132.98599999999999</v>
      </c>
      <c r="V9" s="85">
        <f t="shared" si="0"/>
        <v>7688.2214999999987</v>
      </c>
    </row>
    <row r="10" spans="2:22" ht="12.75">
      <c r="B10" s="43" t="s">
        <v>68</v>
      </c>
      <c r="C10" s="53" t="s">
        <v>69</v>
      </c>
      <c r="D10" s="46">
        <f>'[2]EB1'!D21</f>
        <v>773.00014999999871</v>
      </c>
      <c r="E10" s="46">
        <f>'[2]EB1'!E21</f>
        <v>0</v>
      </c>
      <c r="F10" s="46">
        <f>'[2]EB1'!F21</f>
        <v>0</v>
      </c>
      <c r="G10" s="46">
        <f>'[2]EB1'!G21</f>
        <v>0</v>
      </c>
      <c r="H10" s="46">
        <f>'[2]EB1'!H21</f>
        <v>0</v>
      </c>
      <c r="I10" s="46">
        <f>'[2]EB1'!I21</f>
        <v>0</v>
      </c>
      <c r="J10" s="46">
        <f>'[2]EB1'!J21</f>
        <v>0</v>
      </c>
      <c r="K10" s="46">
        <f>'[2]EB1'!K21</f>
        <v>0</v>
      </c>
      <c r="L10" s="46">
        <f>'[2]EB1'!L21</f>
        <v>0</v>
      </c>
      <c r="M10" s="46">
        <f>'[2]EB1'!M21</f>
        <v>0</v>
      </c>
      <c r="N10" s="46">
        <f>'[2]EB1'!N21</f>
        <v>0</v>
      </c>
      <c r="O10" s="46">
        <f>'[2]EB1'!O21</f>
        <v>0</v>
      </c>
      <c r="P10" s="46">
        <f>'[2]EB1'!P21</f>
        <v>0</v>
      </c>
      <c r="Q10" s="46">
        <f>'[2]EB1'!Q21</f>
        <v>0</v>
      </c>
      <c r="R10" s="46">
        <f>'[2]EB1'!R21</f>
        <v>0</v>
      </c>
      <c r="S10" s="46">
        <f>'[2]EB1'!S21</f>
        <v>0</v>
      </c>
      <c r="T10" s="46">
        <f>'[2]EB1'!T21</f>
        <v>313.51900000000001</v>
      </c>
      <c r="U10" s="46">
        <f>'[2]EB1'!U21</f>
        <v>325</v>
      </c>
      <c r="V10" s="86">
        <f t="shared" si="0"/>
        <v>1411.5191499999987</v>
      </c>
    </row>
    <row r="11" spans="2:22" ht="12.75">
      <c r="B11" s="43" t="s">
        <v>86</v>
      </c>
      <c r="C11" s="52" t="s">
        <v>70</v>
      </c>
      <c r="D11" s="83">
        <f>'[2]EB1'!D22</f>
        <v>34.094450000000002</v>
      </c>
      <c r="E11" s="83">
        <f>'[2]EB1'!E22</f>
        <v>253.5292</v>
      </c>
      <c r="F11" s="83">
        <f>'[2]EB1'!F22</f>
        <v>0</v>
      </c>
      <c r="G11" s="83">
        <f>'[2]EB1'!G22</f>
        <v>76.465000000000003</v>
      </c>
      <c r="H11" s="83">
        <f>'[2]EB1'!H22</f>
        <v>4.7945000000000002</v>
      </c>
      <c r="I11" s="83">
        <f>'[2]EB1'!I22</f>
        <v>199.87350000000001</v>
      </c>
      <c r="J11" s="83">
        <f>'[2]EB1'!J22</f>
        <v>3.1459999999999999</v>
      </c>
      <c r="K11" s="83">
        <f>'[2]EB1'!K22</f>
        <v>899.20600000000002</v>
      </c>
      <c r="L11" s="83">
        <f>'[2]EB1'!L22</f>
        <v>52.039999999999999</v>
      </c>
      <c r="M11" s="83">
        <f>'[2]EB1'!M22</f>
        <v>800.72900000000004</v>
      </c>
      <c r="N11" s="84">
        <f>'[2]EB1'!N22</f>
        <v>0</v>
      </c>
      <c r="O11" s="83">
        <f>'[2]EB1'!O22</f>
        <v>0</v>
      </c>
      <c r="P11" s="83">
        <f>'[2]EB1'!P22</f>
        <v>0</v>
      </c>
      <c r="Q11" s="83">
        <f>'[2]EB1'!Q22</f>
        <v>0</v>
      </c>
      <c r="R11" s="83">
        <f>'[2]EB1'!R22</f>
        <v>0</v>
      </c>
      <c r="S11" s="83">
        <f>'[2]EB1'!S22</f>
        <v>0</v>
      </c>
      <c r="T11" s="83">
        <f>'[2]EB1'!T22</f>
        <v>0</v>
      </c>
      <c r="U11" s="83">
        <f>'[2]EB1'!U22</f>
        <v>0</v>
      </c>
      <c r="V11" s="85">
        <f t="shared" si="0"/>
        <v>2323.8776500000004</v>
      </c>
    </row>
    <row r="12" spans="2:22" ht="12.75">
      <c r="B12" s="43" t="s">
        <v>87</v>
      </c>
      <c r="C12" s="52" t="s">
        <v>71</v>
      </c>
      <c r="D12" s="83">
        <f>'[2]EB1'!D23</f>
        <v>0</v>
      </c>
      <c r="E12" s="83">
        <f>'[2]EB1'!E23</f>
        <v>0</v>
      </c>
      <c r="F12" s="83">
        <f>'[2]EB1'!F23</f>
        <v>0</v>
      </c>
      <c r="G12" s="83">
        <f>'[2]EB1'!G23</f>
        <v>146.90600000000001</v>
      </c>
      <c r="H12" s="83">
        <f>'[2]EB1'!H23</f>
        <v>0</v>
      </c>
      <c r="I12" s="83">
        <f>'[2]EB1'!I23</f>
        <v>0</v>
      </c>
      <c r="J12" s="83">
        <f>'[2]EB1'!J23</f>
        <v>0</v>
      </c>
      <c r="K12" s="83">
        <f>'[2]EB1'!K23</f>
        <v>0</v>
      </c>
      <c r="L12" s="83">
        <f>'[2]EB1'!L23</f>
        <v>902.13999999999999</v>
      </c>
      <c r="M12" s="83">
        <f>'[2]EB1'!M23</f>
        <v>6.5</v>
      </c>
      <c r="N12" s="84">
        <f>'[2]EB1'!N23</f>
        <v>0</v>
      </c>
      <c r="O12" s="46">
        <f>'[2]EB1'!O23</f>
        <v>0</v>
      </c>
      <c r="P12" s="46">
        <f>'[2]EB1'!P23</f>
        <v>0</v>
      </c>
      <c r="Q12" s="46">
        <f>'[2]EB1'!Q23</f>
        <v>0</v>
      </c>
      <c r="R12" s="46">
        <f>'[2]EB1'!R23</f>
        <v>0</v>
      </c>
      <c r="S12" s="83">
        <f>'[2]EB1'!S23</f>
        <v>0</v>
      </c>
      <c r="T12" s="83">
        <f>'[2]EB1'!T23</f>
        <v>0</v>
      </c>
      <c r="U12" s="83">
        <f>'[2]EB1'!U23</f>
        <v>0</v>
      </c>
      <c r="V12" s="85">
        <f t="shared" si="0"/>
        <v>1055.546</v>
      </c>
    </row>
    <row r="13" spans="2:22" ht="15">
      <c r="B13" s="80" t="s">
        <v>89</v>
      </c>
      <c r="C13" s="50" t="s">
        <v>162</v>
      </c>
      <c r="D13" s="48">
        <f t="shared" si="1" ref="D13:V13">SUM(D5:D12)</f>
        <v>2337.9238999999989</v>
      </c>
      <c r="E13" s="48">
        <f t="shared" si="1"/>
        <v>4881.9848000000002</v>
      </c>
      <c r="F13" s="48">
        <f t="shared" si="1"/>
        <v>0</v>
      </c>
      <c r="G13" s="48">
        <f t="shared" si="1"/>
        <v>5975.8215</v>
      </c>
      <c r="H13" s="48">
        <f t="shared" si="1"/>
        <v>1163.9024999999999</v>
      </c>
      <c r="I13" s="48">
        <f t="shared" si="1"/>
        <v>675.02300000000002</v>
      </c>
      <c r="J13" s="48">
        <f t="shared" si="1"/>
        <v>2415.732</v>
      </c>
      <c r="K13" s="48">
        <f t="shared" si="1"/>
        <v>943.27200000000005</v>
      </c>
      <c r="L13" s="48">
        <f t="shared" si="1"/>
        <v>1321.9105</v>
      </c>
      <c r="M13" s="48">
        <f t="shared" si="1"/>
        <v>999.96400000000006</v>
      </c>
      <c r="N13" s="48">
        <f t="shared" si="1"/>
        <v>0</v>
      </c>
      <c r="O13" s="48">
        <f t="shared" si="1"/>
        <v>1643.7629999999999</v>
      </c>
      <c r="P13" s="48"/>
      <c r="Q13" s="48"/>
      <c r="R13" s="48"/>
      <c r="S13" s="48">
        <f t="shared" si="1"/>
        <v>59.204999999999998</v>
      </c>
      <c r="T13" s="48">
        <f t="shared" si="1"/>
        <v>1198.163</v>
      </c>
      <c r="U13" s="48">
        <f>SUM(U5:U12)</f>
        <v>5211.4674999999997</v>
      </c>
      <c r="V13" s="49">
        <f t="shared" si="1"/>
        <v>28885.632699999998</v>
      </c>
    </row>
    <row r="14" spans="4:13" ht="12.75">
      <c r="D14" s="7"/>
      <c r="F14" s="7"/>
      <c r="G14" s="7"/>
      <c r="H14" s="7"/>
      <c r="I14" s="7"/>
      <c r="J14" s="7"/>
      <c r="K14" s="7"/>
      <c r="L14" s="7"/>
      <c r="M14" s="7"/>
    </row>
    <row r="15" spans="4:13" ht="12.75">
      <c r="D15" s="7"/>
      <c r="F15" s="7"/>
      <c r="G15" s="7"/>
      <c r="H15" s="7"/>
      <c r="I15" s="7"/>
      <c r="J15" s="7"/>
      <c r="K15" s="7"/>
      <c r="L15" s="7"/>
      <c r="M15" s="7"/>
    </row>
    <row r="16" spans="3:13" ht="15">
      <c r="C16" s="47" t="s">
        <v>157</v>
      </c>
      <c r="D16" s="47"/>
      <c r="E16" s="47"/>
      <c r="F16" s="7"/>
      <c r="G16" s="7"/>
      <c r="H16" s="7"/>
      <c r="I16" s="7"/>
      <c r="J16" s="7"/>
      <c r="K16" s="7"/>
      <c r="L16" s="7"/>
      <c r="M16" s="7"/>
    </row>
    <row r="17" spans="4:13" ht="12.75">
      <c r="D17" s="7"/>
      <c r="F17" s="7"/>
      <c r="G17" s="7"/>
      <c r="H17" s="7"/>
      <c r="I17" s="7"/>
      <c r="J17" s="7"/>
      <c r="K17" s="7"/>
      <c r="L17" s="7"/>
      <c r="M17" s="7"/>
    </row>
    <row r="18" spans="4:13" ht="12.75">
      <c r="D18" s="7"/>
      <c r="F18" s="7"/>
      <c r="G18" s="7"/>
      <c r="H18" s="7"/>
      <c r="I18" s="7"/>
      <c r="J18" s="7"/>
      <c r="K18" s="7"/>
      <c r="L18" s="7"/>
      <c r="M18" s="7"/>
    </row>
    <row r="19" spans="4:13" ht="12.75">
      <c r="D19" s="7"/>
      <c r="F19" s="7"/>
      <c r="G19" s="7"/>
      <c r="H19" s="7"/>
      <c r="I19" s="7"/>
      <c r="J19" s="7"/>
      <c r="K19" s="7"/>
      <c r="L19" s="7"/>
      <c r="M19" s="7"/>
    </row>
    <row r="20" spans="4:13" ht="12.75">
      <c r="D20" s="7"/>
      <c r="F20" s="7"/>
      <c r="G20" s="7"/>
      <c r="H20" s="7"/>
      <c r="I20" s="7"/>
      <c r="J20" s="7"/>
      <c r="K20" s="7"/>
      <c r="L20" s="7"/>
      <c r="M20" s="7"/>
    </row>
    <row r="21" spans="4:13" ht="12.75">
      <c r="D21" s="7"/>
      <c r="F21" s="7"/>
      <c r="G21" s="7"/>
      <c r="H21" s="7"/>
      <c r="I21" s="7"/>
      <c r="J21" s="7"/>
      <c r="K21" s="7"/>
      <c r="L21" s="7"/>
      <c r="M21" s="7"/>
    </row>
    <row r="22" spans="4:13" ht="12.75">
      <c r="D22" s="7"/>
      <c r="F22" s="7"/>
      <c r="G22" s="7"/>
      <c r="H22" s="7"/>
      <c r="I22" s="7"/>
      <c r="J22" s="7"/>
      <c r="K22" s="7"/>
      <c r="L22" s="7"/>
      <c r="M22" s="7"/>
    </row>
    <row r="23" spans="3:4" ht="12.75">
      <c r="C23" s="1"/>
      <c r="D23" s="21"/>
    </row>
    <row r="24" spans="2:22" ht="38.25">
      <c r="B24" s="22" t="s">
        <v>102</v>
      </c>
      <c r="C24" s="57" t="s">
        <v>116</v>
      </c>
      <c r="D24" s="108" t="s">
        <v>51</v>
      </c>
      <c r="E24" s="109" t="s">
        <v>52</v>
      </c>
      <c r="F24" s="109" t="s">
        <v>128</v>
      </c>
      <c r="G24" s="109" t="s">
        <v>141</v>
      </c>
      <c r="H24" s="109" t="s">
        <v>138</v>
      </c>
      <c r="I24" s="109" t="s">
        <v>131</v>
      </c>
      <c r="J24" s="109" t="s">
        <v>139</v>
      </c>
      <c r="K24" s="109" t="s">
        <v>140</v>
      </c>
      <c r="L24" s="109" t="s">
        <v>136</v>
      </c>
      <c r="M24" s="109" t="s">
        <v>137</v>
      </c>
      <c r="N24" s="109" t="s">
        <v>53</v>
      </c>
      <c r="O24" s="109" t="s">
        <v>171</v>
      </c>
      <c r="P24" s="109" t="s">
        <v>172</v>
      </c>
      <c r="Q24" s="109" t="s">
        <v>173</v>
      </c>
      <c r="R24" s="109" t="s">
        <v>174</v>
      </c>
      <c r="S24" s="109" t="s">
        <v>54</v>
      </c>
      <c r="T24" s="109" t="s">
        <v>55</v>
      </c>
      <c r="U24" s="110" t="s">
        <v>88</v>
      </c>
      <c r="V24" s="42" t="s">
        <v>56</v>
      </c>
    </row>
    <row r="25" spans="2:24" ht="15">
      <c r="B25" s="43" t="s">
        <v>66</v>
      </c>
      <c r="C25" s="54" t="s">
        <v>164</v>
      </c>
      <c r="D25" s="90"/>
      <c r="E25" s="94">
        <v>1</v>
      </c>
      <c r="F25" s="91"/>
      <c r="G25" s="94">
        <v>0.90</v>
      </c>
      <c r="H25" s="91"/>
      <c r="I25" s="94">
        <v>1</v>
      </c>
      <c r="J25" s="94">
        <v>1</v>
      </c>
      <c r="K25" s="91"/>
      <c r="L25" s="91"/>
      <c r="M25" s="91"/>
      <c r="N25" s="91"/>
      <c r="O25" s="94">
        <v>0.75</v>
      </c>
      <c r="P25" s="91"/>
      <c r="Q25" s="91"/>
      <c r="R25" s="91"/>
      <c r="S25" s="91"/>
      <c r="T25" s="91"/>
      <c r="U25" s="95">
        <v>0</v>
      </c>
      <c r="V25" s="55"/>
      <c r="X25" s="51" t="s">
        <v>142</v>
      </c>
    </row>
    <row r="26" spans="2:24" ht="15">
      <c r="B26" s="43" t="s">
        <v>66</v>
      </c>
      <c r="C26" s="56" t="s">
        <v>165</v>
      </c>
      <c r="D26" s="92"/>
      <c r="E26" s="96">
        <f>1-E25</f>
        <v>0</v>
      </c>
      <c r="F26" s="93"/>
      <c r="G26" s="96">
        <f>1-G25</f>
        <v>0.099999999999999978</v>
      </c>
      <c r="H26" s="93"/>
      <c r="I26" s="96">
        <f>1-I25</f>
        <v>0</v>
      </c>
      <c r="J26" s="96">
        <f>1-J25</f>
        <v>0</v>
      </c>
      <c r="K26" s="93"/>
      <c r="L26" s="93"/>
      <c r="M26" s="93"/>
      <c r="N26" s="93"/>
      <c r="O26" s="96">
        <f>1-O25</f>
        <v>0.25</v>
      </c>
      <c r="P26" s="93"/>
      <c r="Q26" s="93"/>
      <c r="R26" s="93"/>
      <c r="S26" s="93"/>
      <c r="T26" s="93"/>
      <c r="U26" s="97">
        <f>1-U25</f>
        <v>1</v>
      </c>
      <c r="V26" s="44"/>
      <c r="X26" s="53" t="s">
        <v>163</v>
      </c>
    </row>
    <row r="29" spans="3:5" ht="12.75">
      <c r="C29" s="58" t="s">
        <v>106</v>
      </c>
      <c r="D29" s="60" t="s">
        <v>107</v>
      </c>
      <c r="E29" s="59" t="s">
        <v>108</v>
      </c>
    </row>
    <row r="30" spans="2:5" ht="12.75">
      <c r="B30" s="20" t="s">
        <v>117</v>
      </c>
      <c r="C30" s="88" t="s">
        <v>109</v>
      </c>
      <c r="D30" s="88" t="s">
        <v>110</v>
      </c>
      <c r="E30" s="89" t="s">
        <v>108</v>
      </c>
    </row>
    <row r="31" spans="2:5" ht="12.75">
      <c r="B31" s="43" t="s">
        <v>66</v>
      </c>
      <c r="C31" s="111">
        <v>1</v>
      </c>
      <c r="D31" s="112"/>
      <c r="E31" s="113"/>
    </row>
  </sheetData>
  <pageMargins left="0.7" right="0.7" top="0.75" bottom="0.75" header="0.3" footer="0.3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G5"/>
  <sheetViews>
    <sheetView zoomScale="90" zoomScaleNormal="90" workbookViewId="0" topLeftCell="A1">
      <selection pane="topLeft" activeCell="D7" sqref="D7"/>
    </sheetView>
  </sheetViews>
  <sheetFormatPr defaultRowHeight="12.75"/>
  <cols>
    <col min="1" max="1" width="1.85714285714286" customWidth="1"/>
    <col min="2" max="2" width="7.71428571428571" customWidth="1"/>
    <col min="3" max="3" width="6.85714285714286" customWidth="1"/>
  </cols>
  <sheetData>
    <row r="3" spans="2:2" ht="18">
      <c r="B3" s="71" t="s">
        <v>161</v>
      </c>
    </row>
    <row r="5" spans="4:7" ht="12.75">
      <c r="D5" s="72" t="s">
        <v>166</v>
      </c>
      <c r="E5" s="72"/>
      <c r="F5" s="72"/>
      <c r="G5" s="72"/>
    </row>
  </sheetData>
  <pageMargins left="0.7" right="0.7" top="0.75" bottom="0.75" header="0.3" footer="0.3"/>
  <pageSetup orientation="portrait" paperSize="9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36"/>
  <sheetViews>
    <sheetView workbookViewId="0" topLeftCell="A1">
      <selection pane="topLeft" activeCell="H22" sqref="H22"/>
    </sheetView>
  </sheetViews>
  <sheetFormatPr defaultRowHeight="12.75"/>
  <cols>
    <col min="1" max="1" width="3" customWidth="1"/>
    <col min="2" max="2" width="13.5714285714286" bestFit="1" customWidth="1"/>
    <col min="3" max="3" width="13.1428571428571" bestFit="1" customWidth="1"/>
    <col min="4" max="4" width="11.8571428571429" bestFit="1" customWidth="1"/>
    <col min="5" max="5" width="11.5714285714286" bestFit="1" customWidth="1"/>
    <col min="6" max="6" width="13" bestFit="1" customWidth="1"/>
    <col min="7" max="7" width="8.28571428571429" bestFit="1" customWidth="1"/>
    <col min="8" max="8" width="9" customWidth="1"/>
    <col min="9" max="9" width="2.14285714285714" bestFit="1" customWidth="1"/>
    <col min="10" max="10" width="12.4285714285714" customWidth="1"/>
    <col min="11" max="11" width="7.14285714285714" customWidth="1"/>
    <col min="12" max="12" width="14.5714285714286" bestFit="1" customWidth="1"/>
    <col min="13" max="13" width="63" customWidth="1"/>
    <col min="14" max="14" width="6.14285714285714" customWidth="1"/>
    <col min="15" max="15" width="10.4285714285714" bestFit="1" customWidth="1"/>
    <col min="16" max="16" width="12.8571428571429" bestFit="1" customWidth="1"/>
    <col min="17" max="17" width="14.1428571428571" bestFit="1" customWidth="1"/>
    <col min="18" max="18" width="8.14285714285714" customWidth="1"/>
  </cols>
  <sheetData>
    <row r="1" spans="2:8" ht="15">
      <c r="B1" s="8" t="s">
        <v>73</v>
      </c>
      <c r="C1" s="8" t="s">
        <v>74</v>
      </c>
      <c r="D1" s="8" t="s">
        <v>75</v>
      </c>
      <c r="E1" s="8" t="s">
        <v>113</v>
      </c>
      <c r="F1" s="8" t="s">
        <v>94</v>
      </c>
      <c r="G1" s="8" t="s">
        <v>100</v>
      </c>
      <c r="H1" s="30"/>
    </row>
    <row r="2" spans="2:18" ht="15.75">
      <c r="B2" s="10" t="str">
        <f>'EB1'!B9</f>
        <v>TRA</v>
      </c>
      <c r="C2" s="10" t="str">
        <f>'EB1'!C9</f>
        <v>Transport</v>
      </c>
      <c r="D2" s="10" t="s">
        <v>111</v>
      </c>
      <c r="E2" s="10" t="str">
        <f>'EB1'!Z2</f>
        <v>PJ</v>
      </c>
      <c r="F2" s="10" t="str">
        <f>'EB1'!Y2</f>
        <v>M€2005</v>
      </c>
      <c r="G2" s="10" t="s">
        <v>101</v>
      </c>
      <c r="H2" s="9"/>
      <c r="J2" s="116" t="s">
        <v>14</v>
      </c>
      <c r="K2" s="116"/>
      <c r="L2" s="117"/>
      <c r="M2" s="117"/>
      <c r="N2" s="117"/>
      <c r="O2" s="117"/>
      <c r="P2" s="117"/>
      <c r="Q2" s="117"/>
      <c r="R2" s="117"/>
    </row>
    <row r="3" spans="10:18" ht="12.75">
      <c r="J3" s="118" t="s">
        <v>7</v>
      </c>
      <c r="K3" s="119" t="s">
        <v>30</v>
      </c>
      <c r="L3" s="118" t="s">
        <v>0</v>
      </c>
      <c r="M3" s="118" t="s">
        <v>3</v>
      </c>
      <c r="N3" s="118" t="s">
        <v>4</v>
      </c>
      <c r="O3" s="118" t="s">
        <v>8</v>
      </c>
      <c r="P3" s="118" t="s">
        <v>9</v>
      </c>
      <c r="Q3" s="118" t="s">
        <v>10</v>
      </c>
      <c r="R3" s="118" t="s">
        <v>12</v>
      </c>
    </row>
    <row r="4" spans="2:18" ht="24" thickBot="1">
      <c r="B4" s="9"/>
      <c r="C4" s="9"/>
      <c r="D4" s="9"/>
      <c r="E4" s="9"/>
      <c r="G4" s="9"/>
      <c r="J4" s="120" t="s">
        <v>37</v>
      </c>
      <c r="K4" s="120" t="s">
        <v>31</v>
      </c>
      <c r="L4" s="120" t="s">
        <v>26</v>
      </c>
      <c r="M4" s="120" t="s">
        <v>27</v>
      </c>
      <c r="N4" s="120" t="s">
        <v>4</v>
      </c>
      <c r="O4" s="120" t="s">
        <v>40</v>
      </c>
      <c r="P4" s="120" t="s">
        <v>41</v>
      </c>
      <c r="Q4" s="120" t="s">
        <v>28</v>
      </c>
      <c r="R4" s="120" t="s">
        <v>29</v>
      </c>
    </row>
    <row r="5" spans="5:18" ht="12.75">
      <c r="E5" s="12"/>
      <c r="F5" s="12"/>
      <c r="G5" s="70"/>
      <c r="H5" s="11"/>
      <c r="J5" s="121" t="s">
        <v>72</v>
      </c>
      <c r="K5" s="121"/>
      <c r="L5" s="121" t="str">
        <f>$B$2&amp;'EB1'!$E$2</f>
        <v>TRAGAS</v>
      </c>
      <c r="M5" s="122" t="str">
        <f>$C$2&amp;" "&amp;'EB1'!$E$3</f>
        <v>Transport Natural Gas</v>
      </c>
      <c r="N5" s="121" t="str">
        <f t="shared" si="0" ref="N5:N10">$E$2</f>
        <v>PJ</v>
      </c>
      <c r="O5" s="121"/>
      <c r="P5" s="121"/>
      <c r="Q5" s="121"/>
      <c r="R5" s="121"/>
    </row>
    <row r="6" spans="5:18" ht="12.75">
      <c r="E6" s="12"/>
      <c r="F6" s="12"/>
      <c r="G6" s="70"/>
      <c r="H6" s="11"/>
      <c r="J6" s="121"/>
      <c r="K6" s="121"/>
      <c r="L6" s="121" t="str">
        <f>$B$2&amp;'EB1'!$G$2</f>
        <v>TRADSL</v>
      </c>
      <c r="M6" s="122" t="str">
        <f>$C$2&amp;" "&amp;'EB1'!$G$3</f>
        <v>Transport Diesel oil</v>
      </c>
      <c r="N6" s="121" t="str">
        <f t="shared" si="0"/>
        <v>PJ</v>
      </c>
      <c r="O6" s="121"/>
      <c r="P6" s="121"/>
      <c r="Q6" s="121"/>
      <c r="R6" s="121"/>
    </row>
    <row r="7" spans="5:18" ht="12.75">
      <c r="E7" s="12"/>
      <c r="F7" s="12"/>
      <c r="G7" s="70"/>
      <c r="H7" s="11"/>
      <c r="J7" s="121"/>
      <c r="K7" s="121"/>
      <c r="L7" s="121" t="str">
        <f>$B$2&amp;'EB1'!$I$2</f>
        <v>TRALPG</v>
      </c>
      <c r="M7" s="122" t="str">
        <f>$C$2&amp;" "&amp;'EB1'!$I$3</f>
        <v>Transport LPG</v>
      </c>
      <c r="N7" s="121" t="str">
        <f t="shared" si="0"/>
        <v>PJ</v>
      </c>
      <c r="O7" s="121"/>
      <c r="P7" s="121"/>
      <c r="Q7" s="121"/>
      <c r="R7" s="121"/>
    </row>
    <row r="8" spans="5:18" ht="12.75">
      <c r="E8" s="12"/>
      <c r="F8" s="12"/>
      <c r="G8" s="70"/>
      <c r="H8" s="11"/>
      <c r="J8" s="121"/>
      <c r="K8" s="121"/>
      <c r="L8" s="121" t="str">
        <f>$B$2&amp;'EB1'!$J$2</f>
        <v>TRAGSL</v>
      </c>
      <c r="M8" s="122" t="str">
        <f>$C$2&amp;" "&amp;'EB1'!$J$3</f>
        <v>Transport Motor spirit</v>
      </c>
      <c r="N8" s="121" t="str">
        <f t="shared" si="0"/>
        <v>PJ</v>
      </c>
      <c r="O8" s="121"/>
      <c r="P8" s="121"/>
      <c r="Q8" s="121"/>
      <c r="R8" s="121"/>
    </row>
    <row r="9" spans="5:18" ht="12.75">
      <c r="E9" s="12"/>
      <c r="F9" s="12"/>
      <c r="G9" s="70"/>
      <c r="H9" s="11"/>
      <c r="J9" s="121"/>
      <c r="K9" s="121"/>
      <c r="L9" s="121" t="str">
        <f>$B$2&amp;'EB1'!$O$2</f>
        <v>TRABIO</v>
      </c>
      <c r="M9" s="122" t="str">
        <f>$C$2&amp;" "&amp;'EB1'!O3</f>
        <v>Transport Biofuels</v>
      </c>
      <c r="N9" s="121" t="str">
        <f t="shared" si="0"/>
        <v>PJ</v>
      </c>
      <c r="O9" s="121"/>
      <c r="P9" s="121"/>
      <c r="Q9" s="121"/>
      <c r="R9" s="121"/>
    </row>
    <row r="10" spans="5:18" ht="12.75">
      <c r="E10" s="12"/>
      <c r="F10" s="12"/>
      <c r="G10" s="70"/>
      <c r="H10" s="11"/>
      <c r="J10" s="121"/>
      <c r="K10" s="121"/>
      <c r="L10" s="121" t="str">
        <f>$B$2&amp;'EB1'!$U$2</f>
        <v>TRAELC</v>
      </c>
      <c r="M10" s="122" t="str">
        <f>$C$2&amp;" "&amp;'EB1'!$U$3</f>
        <v>Transport Electricity</v>
      </c>
      <c r="N10" s="121" t="str">
        <f t="shared" si="0"/>
        <v>PJ</v>
      </c>
      <c r="O10" s="121"/>
      <c r="P10" s="121" t="s">
        <v>125</v>
      </c>
      <c r="Q10" s="121"/>
      <c r="R10" s="121" t="s">
        <v>50</v>
      </c>
    </row>
    <row r="11" spans="12:13" ht="12.75">
      <c r="L11" s="23"/>
      <c r="M11" s="24"/>
    </row>
    <row r="12" spans="4:18" ht="12.75">
      <c r="D12" s="5" t="s">
        <v>13</v>
      </c>
      <c r="E12" s="5"/>
      <c r="F12" s="5"/>
      <c r="J12" s="116" t="s">
        <v>15</v>
      </c>
      <c r="K12" s="116"/>
      <c r="L12" s="121"/>
      <c r="M12" s="121"/>
      <c r="N12" s="121"/>
      <c r="O12" s="121"/>
      <c r="P12" s="121"/>
      <c r="Q12" s="121"/>
      <c r="R12" s="121"/>
    </row>
    <row r="13" spans="2:18" ht="12.75">
      <c r="B13" s="17" t="s">
        <v>1</v>
      </c>
      <c r="C13" s="17" t="s">
        <v>5</v>
      </c>
      <c r="D13" s="17" t="s">
        <v>6</v>
      </c>
      <c r="E13" s="76" t="s">
        <v>155</v>
      </c>
      <c r="F13" s="73" t="s">
        <v>127</v>
      </c>
      <c r="G13" s="73" t="s">
        <v>85</v>
      </c>
      <c r="H13" s="73" t="s">
        <v>79</v>
      </c>
      <c r="J13" s="118" t="s">
        <v>11</v>
      </c>
      <c r="K13" s="119" t="s">
        <v>30</v>
      </c>
      <c r="L13" s="118" t="s">
        <v>1</v>
      </c>
      <c r="M13" s="118" t="s">
        <v>2</v>
      </c>
      <c r="N13" s="118" t="s">
        <v>16</v>
      </c>
      <c r="O13" s="118" t="s">
        <v>17</v>
      </c>
      <c r="P13" s="118" t="s">
        <v>18</v>
      </c>
      <c r="Q13" s="118" t="s">
        <v>19</v>
      </c>
      <c r="R13" s="118" t="s">
        <v>20</v>
      </c>
    </row>
    <row r="14" spans="2:18" ht="23.25" thickBot="1">
      <c r="B14" s="16" t="s">
        <v>39</v>
      </c>
      <c r="C14" s="16" t="s">
        <v>32</v>
      </c>
      <c r="D14" s="16" t="s">
        <v>33</v>
      </c>
      <c r="E14" s="16" t="s">
        <v>154</v>
      </c>
      <c r="F14" s="16" t="s">
        <v>34</v>
      </c>
      <c r="G14" s="16" t="s">
        <v>90</v>
      </c>
      <c r="H14" s="16" t="s">
        <v>177</v>
      </c>
      <c r="J14" s="120" t="s">
        <v>38</v>
      </c>
      <c r="K14" s="120" t="s">
        <v>31</v>
      </c>
      <c r="L14" s="120" t="s">
        <v>21</v>
      </c>
      <c r="M14" s="120" t="s">
        <v>22</v>
      </c>
      <c r="N14" s="120" t="s">
        <v>23</v>
      </c>
      <c r="O14" s="120" t="s">
        <v>24</v>
      </c>
      <c r="P14" s="120" t="s">
        <v>43</v>
      </c>
      <c r="Q14" s="120" t="s">
        <v>42</v>
      </c>
      <c r="R14" s="120" t="s">
        <v>25</v>
      </c>
    </row>
    <row r="15" spans="2:18" ht="13.5" thickBot="1">
      <c r="B15" s="15" t="s">
        <v>91</v>
      </c>
      <c r="C15" s="15"/>
      <c r="D15" s="15"/>
      <c r="E15" s="13"/>
      <c r="F15" s="13" t="str">
        <f>E2&amp;"a"</f>
        <v>PJa</v>
      </c>
      <c r="G15" s="13"/>
      <c r="H15" s="13" t="s">
        <v>92</v>
      </c>
      <c r="J15" s="120" t="s">
        <v>81</v>
      </c>
      <c r="K15" s="123"/>
      <c r="L15" s="123"/>
      <c r="M15" s="123"/>
      <c r="N15" s="123"/>
      <c r="O15" s="123"/>
      <c r="P15" s="123"/>
      <c r="Q15" s="123"/>
      <c r="R15" s="123"/>
    </row>
    <row r="16" spans="2:18" ht="12.75">
      <c r="B16" t="str">
        <f t="shared" si="1" ref="B16:B21">L16</f>
        <v>FTE-TRAGAS</v>
      </c>
      <c r="C16" t="str">
        <f t="shared" si="2" ref="C16:C21">RIGHT(D16,3)</f>
        <v>GAS</v>
      </c>
      <c r="D16" t="str">
        <f t="shared" si="3" ref="D16:D21">L5</f>
        <v>TRAGAS</v>
      </c>
      <c r="E16" s="12"/>
      <c r="F16" s="12"/>
      <c r="G16" s="65">
        <v>1</v>
      </c>
      <c r="H16" s="66">
        <v>30</v>
      </c>
      <c r="J16" s="117" t="s">
        <v>112</v>
      </c>
      <c r="K16" s="121"/>
      <c r="L16" s="121" t="str">
        <f t="shared" si="4" ref="L16:L21">"FT"&amp;$G$2&amp;"-"&amp;L5</f>
        <v>FTE-TRAGAS</v>
      </c>
      <c r="M16" s="122" t="str">
        <f t="shared" si="5" ref="M16:M21">$D$2&amp;" Technology"&amp;" "&amp;$G$1&amp;" "&amp;M5</f>
        <v>Sector Fuel Technology Existing Transport Natural Gas</v>
      </c>
      <c r="N16" s="121" t="str">
        <f t="shared" si="6" ref="N16:N21">$E$2</f>
        <v>PJ</v>
      </c>
      <c r="O16" s="121" t="str">
        <f t="shared" si="7" ref="O16:O21">$E$2&amp;"a"</f>
        <v>PJa</v>
      </c>
      <c r="P16" s="121"/>
      <c r="Q16" s="121"/>
      <c r="R16" s="121"/>
    </row>
    <row r="17" spans="2:18" ht="12.75">
      <c r="B17" t="str">
        <f t="shared" si="1"/>
        <v>FTE-TRADSL</v>
      </c>
      <c r="C17" t="str">
        <f t="shared" si="2"/>
        <v>DSL</v>
      </c>
      <c r="D17" t="str">
        <f t="shared" si="3"/>
        <v>TRADSL</v>
      </c>
      <c r="E17" s="12"/>
      <c r="F17" s="12"/>
      <c r="G17" s="65">
        <v>1</v>
      </c>
      <c r="H17" s="66">
        <v>30</v>
      </c>
      <c r="J17" s="117"/>
      <c r="K17" s="121"/>
      <c r="L17" s="121" t="str">
        <f t="shared" si="4"/>
        <v>FTE-TRADSL</v>
      </c>
      <c r="M17" s="122" t="str">
        <f t="shared" si="5"/>
        <v>Sector Fuel Technology Existing Transport Diesel oil</v>
      </c>
      <c r="N17" s="121" t="str">
        <f t="shared" si="6"/>
        <v>PJ</v>
      </c>
      <c r="O17" s="121" t="str">
        <f t="shared" si="7"/>
        <v>PJa</v>
      </c>
      <c r="P17" s="121"/>
      <c r="Q17" s="121"/>
      <c r="R17" s="121"/>
    </row>
    <row r="18" spans="2:18" ht="12.75">
      <c r="B18" t="str">
        <f t="shared" si="1"/>
        <v>FTE-TRALPG</v>
      </c>
      <c r="C18" t="str">
        <f t="shared" si="2"/>
        <v>LPG</v>
      </c>
      <c r="D18" t="str">
        <f t="shared" si="3"/>
        <v>TRALPG</v>
      </c>
      <c r="E18" s="12"/>
      <c r="F18" s="12"/>
      <c r="G18" s="65">
        <v>1</v>
      </c>
      <c r="H18" s="66">
        <v>30</v>
      </c>
      <c r="J18" s="121"/>
      <c r="K18" s="121"/>
      <c r="L18" s="121" t="str">
        <f t="shared" si="4"/>
        <v>FTE-TRALPG</v>
      </c>
      <c r="M18" s="122" t="str">
        <f t="shared" si="5"/>
        <v>Sector Fuel Technology Existing Transport LPG</v>
      </c>
      <c r="N18" s="121" t="str">
        <f t="shared" si="6"/>
        <v>PJ</v>
      </c>
      <c r="O18" s="121" t="str">
        <f t="shared" si="7"/>
        <v>PJa</v>
      </c>
      <c r="P18" s="121"/>
      <c r="Q18" s="121"/>
      <c r="R18" s="121"/>
    </row>
    <row r="19" spans="2:18" ht="12.75">
      <c r="B19" t="str">
        <f t="shared" si="1"/>
        <v>FTE-TRAGSL</v>
      </c>
      <c r="C19" t="str">
        <f t="shared" si="2"/>
        <v>GSL</v>
      </c>
      <c r="D19" t="str">
        <f t="shared" si="3"/>
        <v>TRAGSL</v>
      </c>
      <c r="E19" s="12"/>
      <c r="F19" s="12"/>
      <c r="G19" s="65">
        <v>1</v>
      </c>
      <c r="H19" s="66">
        <v>30</v>
      </c>
      <c r="J19" s="121"/>
      <c r="K19" s="121"/>
      <c r="L19" s="121" t="str">
        <f t="shared" si="4"/>
        <v>FTE-TRAGSL</v>
      </c>
      <c r="M19" s="122" t="str">
        <f t="shared" si="5"/>
        <v>Sector Fuel Technology Existing Transport Motor spirit</v>
      </c>
      <c r="N19" s="121" t="str">
        <f t="shared" si="6"/>
        <v>PJ</v>
      </c>
      <c r="O19" s="121" t="str">
        <f t="shared" si="7"/>
        <v>PJa</v>
      </c>
      <c r="P19" s="121"/>
      <c r="Q19" s="121"/>
      <c r="R19" s="121"/>
    </row>
    <row r="20" spans="2:18" ht="12.75">
      <c r="B20" t="str">
        <f t="shared" si="1"/>
        <v>FTE-TRABIO</v>
      </c>
      <c r="C20" t="str">
        <f t="shared" si="2"/>
        <v>BIO</v>
      </c>
      <c r="D20" t="str">
        <f t="shared" si="3"/>
        <v>TRABIO</v>
      </c>
      <c r="E20" s="12"/>
      <c r="F20" s="12"/>
      <c r="G20" s="65">
        <v>1</v>
      </c>
      <c r="H20" s="66">
        <v>30</v>
      </c>
      <c r="J20" s="121"/>
      <c r="K20" s="121"/>
      <c r="L20" s="121" t="str">
        <f t="shared" si="4"/>
        <v>FTE-TRABIO</v>
      </c>
      <c r="M20" s="122" t="str">
        <f t="shared" si="5"/>
        <v>Sector Fuel Technology Existing Transport Biofuels</v>
      </c>
      <c r="N20" s="121" t="str">
        <f t="shared" si="6"/>
        <v>PJ</v>
      </c>
      <c r="O20" s="121" t="str">
        <f t="shared" si="7"/>
        <v>PJa</v>
      </c>
      <c r="P20" s="121"/>
      <c r="Q20" s="121"/>
      <c r="R20" s="121"/>
    </row>
    <row r="21" spans="2:18" ht="12.75">
      <c r="B21" t="str">
        <f t="shared" si="1"/>
        <v>FTE-TRAELC</v>
      </c>
      <c r="C21" t="str">
        <f t="shared" si="2"/>
        <v>ELC</v>
      </c>
      <c r="D21" t="str">
        <f t="shared" si="3"/>
        <v>TRAELC</v>
      </c>
      <c r="E21" s="12"/>
      <c r="F21" s="12"/>
      <c r="G21" s="65">
        <v>1</v>
      </c>
      <c r="H21" s="66">
        <v>30</v>
      </c>
      <c r="J21" s="121"/>
      <c r="K21" s="121"/>
      <c r="L21" s="121" t="str">
        <f t="shared" si="4"/>
        <v>FTE-TRAELC</v>
      </c>
      <c r="M21" s="122" t="str">
        <f t="shared" si="5"/>
        <v>Sector Fuel Technology Existing Transport Electricity</v>
      </c>
      <c r="N21" s="121" t="str">
        <f t="shared" si="6"/>
        <v>PJ</v>
      </c>
      <c r="O21" s="121" t="str">
        <f t="shared" si="7"/>
        <v>PJa</v>
      </c>
      <c r="P21" s="121" t="s">
        <v>125</v>
      </c>
      <c r="Q21" s="121"/>
      <c r="R21" s="121"/>
    </row>
    <row r="22" spans="5:13" ht="12.75">
      <c r="E22" s="12"/>
      <c r="F22" s="12"/>
      <c r="G22" s="70"/>
      <c r="H22" s="11"/>
      <c r="M22" s="19"/>
    </row>
    <row r="23" spans="5:13" ht="12.75">
      <c r="E23" s="12"/>
      <c r="F23" s="12"/>
      <c r="G23" s="70"/>
      <c r="H23" s="11"/>
      <c r="M23" s="19"/>
    </row>
    <row r="24" spans="2:13" ht="12.75">
      <c r="B24" s="23"/>
      <c r="D24" s="23"/>
      <c r="E24" s="12"/>
      <c r="F24" s="12"/>
      <c r="G24" s="70"/>
      <c r="H24" s="11"/>
      <c r="M24" s="19"/>
    </row>
    <row r="25" spans="2:13" ht="12.75">
      <c r="B25" s="23"/>
      <c r="D25" s="23"/>
      <c r="E25" s="12"/>
      <c r="F25" s="12"/>
      <c r="G25" s="70"/>
      <c r="H25" s="11"/>
      <c r="J25" s="23"/>
      <c r="K25" s="23"/>
      <c r="M25" s="19"/>
    </row>
    <row r="26" spans="2:13" ht="12.75">
      <c r="B26" s="23"/>
      <c r="D26" s="23"/>
      <c r="E26" s="98"/>
      <c r="F26" s="12"/>
      <c r="G26" s="70"/>
      <c r="H26" s="11"/>
      <c r="J26" s="23"/>
      <c r="K26" s="23"/>
      <c r="M26" s="19"/>
    </row>
    <row r="27" spans="2:13" ht="12.75">
      <c r="B27" s="23"/>
      <c r="D27" s="23"/>
      <c r="E27" s="98"/>
      <c r="F27" s="12"/>
      <c r="G27" s="70"/>
      <c r="H27" s="11"/>
      <c r="J27" s="23"/>
      <c r="K27" s="23"/>
      <c r="M27" s="19"/>
    </row>
    <row r="28" spans="2:13" ht="12.75">
      <c r="B28" s="23"/>
      <c r="D28" s="23"/>
      <c r="E28" s="98"/>
      <c r="F28" s="12"/>
      <c r="G28" s="70"/>
      <c r="H28" s="11"/>
      <c r="M28" s="19"/>
    </row>
    <row r="29" spans="2:8" ht="12.75">
      <c r="B29" s="23"/>
      <c r="D29" s="23"/>
      <c r="E29" s="98"/>
      <c r="F29" s="12"/>
      <c r="G29" s="70"/>
      <c r="H29" s="11"/>
    </row>
    <row r="30" spans="2:8" ht="12.75">
      <c r="B30" s="23"/>
      <c r="D30" s="23"/>
      <c r="E30" s="12"/>
      <c r="F30" s="12"/>
      <c r="G30" s="70"/>
      <c r="H30" s="11"/>
    </row>
    <row r="31" spans="2:8" ht="12.75">
      <c r="B31" s="23"/>
      <c r="D31" s="23"/>
      <c r="E31" s="12"/>
      <c r="F31" s="12"/>
      <c r="G31" s="70"/>
      <c r="H31" s="11"/>
    </row>
    <row r="35" spans="2:3" ht="12.75">
      <c r="B35" s="45"/>
      <c r="C35" s="1" t="s">
        <v>159</v>
      </c>
    </row>
    <row r="36" spans="2:3" ht="12.75">
      <c r="B36" s="64"/>
      <c r="C36" s="1" t="s">
        <v>160</v>
      </c>
    </row>
  </sheetData>
  <pageMargins left="0.7" right="0.7" top="0.75" bottom="0.75" header="0.3" footer="0.3"/>
  <pageSetup orientation="portrait" paperSize="9" r:id="rId4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W32"/>
  <sheetViews>
    <sheetView zoomScale="90" zoomScaleNormal="90" workbookViewId="0" topLeftCell="A1">
      <selection pane="topLeft" activeCell="S18" sqref="S18"/>
    </sheetView>
  </sheetViews>
  <sheetFormatPr defaultRowHeight="12.75"/>
  <cols>
    <col min="1" max="1" width="3" customWidth="1"/>
    <col min="2" max="2" width="12.1428571428571" bestFit="1" customWidth="1"/>
    <col min="3" max="3" width="12" customWidth="1"/>
    <col min="4" max="4" width="13.8571428571429" customWidth="1"/>
    <col min="5" max="5" width="12.2857142857143" bestFit="1" customWidth="1"/>
    <col min="6" max="6" width="13.1428571428571" bestFit="1" customWidth="1"/>
    <col min="7" max="7" width="10.5714285714286" bestFit="1" customWidth="1"/>
    <col min="8" max="8" width="15.1428571428571" bestFit="1" customWidth="1"/>
    <col min="9" max="9" width="15.5714285714286" bestFit="1" customWidth="1"/>
    <col min="10" max="10" width="8.85714285714286" customWidth="1"/>
    <col min="11" max="11" width="13.5714285714286" bestFit="1" customWidth="1"/>
    <col min="12" max="12" width="2" bestFit="1" customWidth="1"/>
    <col min="13" max="13" width="13.8571428571429" customWidth="1"/>
    <col min="14" max="14" width="2" customWidth="1"/>
    <col min="15" max="15" width="12.4285714285714" customWidth="1"/>
    <col min="16" max="16" width="7.14285714285714" customWidth="1"/>
    <col min="17" max="17" width="11" customWidth="1"/>
    <col min="18" max="18" width="63.4285714285714" bestFit="1" customWidth="1"/>
    <col min="19" max="19" width="7.71428571428571" customWidth="1"/>
    <col min="20" max="20" width="12" customWidth="1"/>
    <col min="21" max="21" width="12.8571428571429" bestFit="1" customWidth="1"/>
    <col min="22" max="22" width="13.2857142857143" customWidth="1"/>
    <col min="23" max="23" width="8" bestFit="1" customWidth="1"/>
  </cols>
  <sheetData>
    <row r="1" spans="2:9" ht="15">
      <c r="B1" s="8" t="s">
        <v>73</v>
      </c>
      <c r="C1" s="8" t="s">
        <v>75</v>
      </c>
      <c r="D1" s="8" t="s">
        <v>114</v>
      </c>
      <c r="E1" s="8" t="s">
        <v>77</v>
      </c>
      <c r="F1" s="8" t="s">
        <v>78</v>
      </c>
      <c r="G1" s="8" t="s">
        <v>143</v>
      </c>
      <c r="H1" s="8" t="s">
        <v>100</v>
      </c>
      <c r="I1" s="30"/>
    </row>
    <row r="2" spans="2:23" ht="31.5">
      <c r="B2" s="10" t="str">
        <f>'EB1'!B9</f>
        <v>TRA</v>
      </c>
      <c r="C2" s="10" t="str">
        <f>'EB1'!C9</f>
        <v>Transport</v>
      </c>
      <c r="D2" s="18" t="s">
        <v>115</v>
      </c>
      <c r="E2" s="10" t="str">
        <f>'EB1'!Z2</f>
        <v>PJ</v>
      </c>
      <c r="F2" s="10" t="str">
        <f>'EB1'!Y2</f>
        <v>M€2005</v>
      </c>
      <c r="G2" s="31" t="s">
        <v>144</v>
      </c>
      <c r="H2" s="10" t="s">
        <v>101</v>
      </c>
      <c r="I2" s="9"/>
      <c r="O2" s="116" t="s">
        <v>14</v>
      </c>
      <c r="P2" s="116"/>
      <c r="Q2" s="117"/>
      <c r="R2" s="117"/>
      <c r="S2" s="117"/>
      <c r="T2" s="117"/>
      <c r="U2" s="117"/>
      <c r="V2" s="117"/>
      <c r="W2" s="117"/>
    </row>
    <row r="3" spans="15:23" ht="12.75">
      <c r="O3" s="118" t="s">
        <v>7</v>
      </c>
      <c r="P3" s="119" t="s">
        <v>30</v>
      </c>
      <c r="Q3" s="118" t="s">
        <v>0</v>
      </c>
      <c r="R3" s="118" t="s">
        <v>3</v>
      </c>
      <c r="S3" s="118" t="s">
        <v>4</v>
      </c>
      <c r="T3" s="118" t="s">
        <v>8</v>
      </c>
      <c r="U3" s="118" t="s">
        <v>9</v>
      </c>
      <c r="V3" s="118" t="s">
        <v>10</v>
      </c>
      <c r="W3" s="118" t="s">
        <v>12</v>
      </c>
    </row>
    <row r="4" spans="2:23" ht="24" thickBot="1">
      <c r="B4" s="9"/>
      <c r="C4" s="9"/>
      <c r="D4" s="9"/>
      <c r="E4" s="9"/>
      <c r="F4" s="9"/>
      <c r="O4" s="120" t="s">
        <v>37</v>
      </c>
      <c r="P4" s="120" t="s">
        <v>31</v>
      </c>
      <c r="Q4" s="120" t="s">
        <v>26</v>
      </c>
      <c r="R4" s="120" t="s">
        <v>27</v>
      </c>
      <c r="S4" s="120" t="s">
        <v>4</v>
      </c>
      <c r="T4" s="120" t="s">
        <v>40</v>
      </c>
      <c r="U4" s="120" t="s">
        <v>41</v>
      </c>
      <c r="V4" s="120" t="s">
        <v>28</v>
      </c>
      <c r="W4" s="120" t="s">
        <v>29</v>
      </c>
    </row>
    <row r="5" spans="2:23" ht="15.75">
      <c r="B5" s="9"/>
      <c r="C5" s="9"/>
      <c r="D5" s="9"/>
      <c r="E5" s="9"/>
      <c r="F5" s="9"/>
      <c r="O5" s="117" t="s">
        <v>83</v>
      </c>
      <c r="P5" s="121"/>
      <c r="Q5" s="117" t="str">
        <f>LEFT($O$5,1)&amp;LEFT($B$2,1)&amp;'EB1'!$C$25</f>
        <v>DTCAR</v>
      </c>
      <c r="R5" s="117" t="str">
        <f>LEFT($D$2,6)&amp;" "&amp;$C$2&amp;" Sector - "&amp;'EB1'!$X$25</f>
        <v>Demand Transport Sector - Cars</v>
      </c>
      <c r="S5" s="117" t="s">
        <v>183</v>
      </c>
      <c r="T5" s="117"/>
      <c r="U5" s="117"/>
      <c r="V5" s="117"/>
      <c r="W5" s="117"/>
    </row>
    <row r="6" spans="2:23" ht="15.75">
      <c r="B6" s="9"/>
      <c r="C6" s="9"/>
      <c r="D6" s="9"/>
      <c r="E6" s="9"/>
      <c r="F6" s="9"/>
      <c r="O6" s="117"/>
      <c r="P6" s="121"/>
      <c r="Q6" s="117" t="str">
        <f>LEFT($O$5,1)&amp;LEFT($B$2,1)&amp;'EB1'!$C$26</f>
        <v>DTPUB</v>
      </c>
      <c r="R6" s="117" t="str">
        <f>LEFT($D$2,6)&amp;" "&amp;$C$2&amp;" Sector - "&amp;'EB1'!$X$26</f>
        <v>Demand Transport Sector - Pub</v>
      </c>
      <c r="S6" s="117" t="s">
        <v>183</v>
      </c>
      <c r="T6" s="117"/>
      <c r="U6" s="117"/>
      <c r="V6" s="117"/>
      <c r="W6" s="117"/>
    </row>
    <row r="7" spans="15:23" ht="12.75">
      <c r="O7" s="121" t="s">
        <v>105</v>
      </c>
      <c r="P7" s="121"/>
      <c r="Q7" s="121" t="str">
        <f>$B$2&amp;'EB1'!$C$29</f>
        <v>TRACO2</v>
      </c>
      <c r="R7" s="121" t="str">
        <f>$C$2&amp;" "&amp;'EB1'!$C$30</f>
        <v>Transport Carbon dioxide</v>
      </c>
      <c r="S7" s="121" t="str">
        <f>'EB1'!$AA$2</f>
        <v>kt</v>
      </c>
      <c r="T7" s="121"/>
      <c r="U7" s="121"/>
      <c r="V7" s="121"/>
      <c r="W7" s="121"/>
    </row>
    <row r="9" spans="4:23" ht="12.75">
      <c r="D9" s="5" t="s">
        <v>13</v>
      </c>
      <c r="E9" s="5"/>
      <c r="G9" s="5"/>
      <c r="I9" s="4"/>
      <c r="J9" s="14"/>
      <c r="O9" s="116" t="s">
        <v>15</v>
      </c>
      <c r="P9" s="116"/>
      <c r="Q9" s="121"/>
      <c r="R9" s="121"/>
      <c r="S9" s="121"/>
      <c r="T9" s="121"/>
      <c r="U9" s="121"/>
      <c r="V9" s="121"/>
      <c r="W9" s="121"/>
    </row>
    <row r="10" spans="2:23" ht="12.75">
      <c r="B10" s="17" t="s">
        <v>1</v>
      </c>
      <c r="C10" s="17" t="s">
        <v>5</v>
      </c>
      <c r="D10" s="17" t="s">
        <v>6</v>
      </c>
      <c r="E10" s="73" t="s">
        <v>127</v>
      </c>
      <c r="F10" s="73" t="s">
        <v>85</v>
      </c>
      <c r="G10" s="73" t="s">
        <v>98</v>
      </c>
      <c r="H10" s="73" t="s">
        <v>146</v>
      </c>
      <c r="I10" s="73" t="s">
        <v>84</v>
      </c>
      <c r="J10" s="73" t="s">
        <v>79</v>
      </c>
      <c r="K10" s="73" t="s">
        <v>178</v>
      </c>
      <c r="L10" s="25"/>
      <c r="M10" s="29" t="s">
        <v>118</v>
      </c>
      <c r="O10" s="118" t="s">
        <v>11</v>
      </c>
      <c r="P10" s="119" t="s">
        <v>30</v>
      </c>
      <c r="Q10" s="118" t="s">
        <v>1</v>
      </c>
      <c r="R10" s="118" t="s">
        <v>2</v>
      </c>
      <c r="S10" s="118" t="s">
        <v>16</v>
      </c>
      <c r="T10" s="118" t="s">
        <v>17</v>
      </c>
      <c r="U10" s="118" t="s">
        <v>18</v>
      </c>
      <c r="V10" s="118" t="s">
        <v>19</v>
      </c>
      <c r="W10" s="118" t="s">
        <v>20</v>
      </c>
    </row>
    <row r="11" spans="2:23" ht="23.25" thickBot="1">
      <c r="B11" s="16" t="s">
        <v>39</v>
      </c>
      <c r="C11" s="16" t="s">
        <v>32</v>
      </c>
      <c r="D11" s="16" t="s">
        <v>33</v>
      </c>
      <c r="E11" s="16" t="s">
        <v>34</v>
      </c>
      <c r="F11" s="16" t="s">
        <v>90</v>
      </c>
      <c r="G11" s="87" t="s">
        <v>99</v>
      </c>
      <c r="H11" s="87" t="s">
        <v>148</v>
      </c>
      <c r="I11" s="16" t="s">
        <v>96</v>
      </c>
      <c r="J11" s="16" t="s">
        <v>177</v>
      </c>
      <c r="K11" s="16" t="s">
        <v>179</v>
      </c>
      <c r="L11" s="32"/>
      <c r="M11" s="114" t="s">
        <v>35</v>
      </c>
      <c r="O11" s="120" t="s">
        <v>38</v>
      </c>
      <c r="P11" s="120" t="s">
        <v>31</v>
      </c>
      <c r="Q11" s="120" t="s">
        <v>21</v>
      </c>
      <c r="R11" s="120" t="s">
        <v>22</v>
      </c>
      <c r="S11" s="120" t="s">
        <v>23</v>
      </c>
      <c r="T11" s="120" t="s">
        <v>24</v>
      </c>
      <c r="U11" s="120" t="s">
        <v>43</v>
      </c>
      <c r="V11" s="120" t="s">
        <v>42</v>
      </c>
      <c r="W11" s="120" t="s">
        <v>25</v>
      </c>
    </row>
    <row r="12" spans="2:23" ht="13.5" thickBot="1">
      <c r="B12" s="15" t="s">
        <v>91</v>
      </c>
      <c r="C12" s="15"/>
      <c r="D12" s="15"/>
      <c r="E12" s="13" t="str">
        <f>G2</f>
        <v>000_Units</v>
      </c>
      <c r="F12" s="13" t="s">
        <v>180</v>
      </c>
      <c r="G12" s="77" t="s">
        <v>151</v>
      </c>
      <c r="H12" s="75" t="s">
        <v>147</v>
      </c>
      <c r="I12" s="13" t="str">
        <f>$F$2&amp;"/"&amp;G2&amp;"a"</f>
        <v>M€2005/000_Unitsa</v>
      </c>
      <c r="J12" s="13" t="s">
        <v>92</v>
      </c>
      <c r="K12" s="13" t="s">
        <v>181</v>
      </c>
      <c r="L12" s="32"/>
      <c r="M12" s="115" t="s">
        <v>182</v>
      </c>
      <c r="O12" s="120" t="s">
        <v>81</v>
      </c>
      <c r="P12" s="120"/>
      <c r="Q12" s="120"/>
      <c r="R12" s="120"/>
      <c r="S12" s="120"/>
      <c r="T12" s="120"/>
      <c r="U12" s="120"/>
      <c r="V12" s="120"/>
      <c r="W12" s="120"/>
    </row>
    <row r="13" spans="2:23" ht="12.75">
      <c r="B13" t="str">
        <f t="shared" si="0" ref="B13:B24">Q13</f>
        <v>TCAREGAS</v>
      </c>
      <c r="C13" t="str">
        <f t="shared" si="1" ref="C13:C24">$B$2&amp;RIGHT(B13,3)</f>
        <v>TRAGAS</v>
      </c>
      <c r="D13" t="str">
        <f t="shared" si="2" ref="D13:D18">$Q$5</f>
        <v>DTCAR</v>
      </c>
      <c r="E13" s="63">
        <f>('EB1'!E$9*'EB1'!$E$25*F13/(K13*G13))*1.01</f>
        <v>233.01046285714281</v>
      </c>
      <c r="F13" s="45">
        <v>0.38</v>
      </c>
      <c r="G13" s="45">
        <v>14</v>
      </c>
      <c r="H13" s="67">
        <v>1.25</v>
      </c>
      <c r="I13" s="67">
        <v>0.16</v>
      </c>
      <c r="J13" s="45">
        <v>10</v>
      </c>
      <c r="K13" s="69">
        <v>0.001</v>
      </c>
      <c r="M13" s="29">
        <f>E13*G13*K13*H13</f>
        <v>4.0776830999999989</v>
      </c>
      <c r="O13" s="117" t="s">
        <v>97</v>
      </c>
      <c r="P13" s="121"/>
      <c r="Q13" s="121" t="str">
        <f>LEFT($B$2)&amp;'EB1'!$C$25&amp;$H$2&amp;'EB1'!$E$2</f>
        <v>TCAREGAS</v>
      </c>
      <c r="R13" s="122" t="str">
        <f>$D$2&amp;" "&amp;$C$2&amp;" Sector - "&amp;""&amp;$H$1&amp;" "&amp;'EB1'!$X$25&amp;" - "&amp;'EB1'!$E$3</f>
        <v>Demand Technologies Transport Sector - Existing Cars - Natural Gas</v>
      </c>
      <c r="S13" s="126" t="s">
        <v>183</v>
      </c>
      <c r="T13" s="117" t="str">
        <f t="shared" si="3" ref="T13:T24">$G$2</f>
        <v>000_Units</v>
      </c>
      <c r="U13" s="121"/>
      <c r="V13" s="117" t="s">
        <v>145</v>
      </c>
      <c r="W13" s="121"/>
    </row>
    <row r="14" spans="2:23" ht="12.75">
      <c r="B14" t="str">
        <f t="shared" si="0"/>
        <v>TCAREDSL</v>
      </c>
      <c r="C14" t="str">
        <f t="shared" si="1"/>
        <v>TRADSL</v>
      </c>
      <c r="D14" t="str">
        <f t="shared" si="2"/>
        <v>DTCAR</v>
      </c>
      <c r="E14" s="63">
        <f>('EB1'!G$9*'EB1'!$G$25*F14/(K14*G14))*1.01</f>
        <v>87102.97230272727</v>
      </c>
      <c r="F14" s="67">
        <v>0.41</v>
      </c>
      <c r="G14" s="62">
        <v>16.50</v>
      </c>
      <c r="H14" s="67">
        <v>1.25</v>
      </c>
      <c r="I14" s="67">
        <v>0.16</v>
      </c>
      <c r="J14" s="45">
        <v>10</v>
      </c>
      <c r="K14" s="69">
        <v>0.001</v>
      </c>
      <c r="M14" s="29">
        <f t="shared" si="4" ref="M14:M22">E14*G14*K14*H14</f>
        <v>1796.4988037437502</v>
      </c>
      <c r="O14" s="121"/>
      <c r="P14" s="121"/>
      <c r="Q14" s="121" t="str">
        <f>LEFT($B$2)&amp;'EB1'!$C$25&amp;$H$2&amp;'EB1'!$G$2</f>
        <v>TCAREDSL</v>
      </c>
      <c r="R14" s="122" t="str">
        <f>$D$2&amp;" "&amp;$C$2&amp;" Sector - "&amp;""&amp;$H$1&amp;" "&amp;'EB1'!$X$25&amp;" - "&amp;'EB1'!$G$3</f>
        <v>Demand Technologies Transport Sector - Existing Cars - Diesel oil</v>
      </c>
      <c r="S14" s="117" t="s">
        <v>183</v>
      </c>
      <c r="T14" s="117" t="str">
        <f t="shared" si="3"/>
        <v>000_Units</v>
      </c>
      <c r="U14" s="121"/>
      <c r="V14" s="117" t="s">
        <v>145</v>
      </c>
      <c r="W14" s="121"/>
    </row>
    <row r="15" spans="2:23" ht="12.75">
      <c r="B15" t="str">
        <f t="shared" si="0"/>
        <v>TCARELPG</v>
      </c>
      <c r="C15" t="str">
        <f t="shared" si="1"/>
        <v>TRALPG</v>
      </c>
      <c r="D15" t="str">
        <f t="shared" si="2"/>
        <v>DTCAR</v>
      </c>
      <c r="E15" s="63">
        <f>('EB1'!I$9*'EB1'!$I$25*F15/(K15*G15))*1.01</f>
        <v>2583.2755571428575</v>
      </c>
      <c r="F15" s="67">
        <v>0.38</v>
      </c>
      <c r="G15" s="62">
        <v>14</v>
      </c>
      <c r="H15" s="67">
        <v>1.25</v>
      </c>
      <c r="I15" s="68">
        <v>0.16</v>
      </c>
      <c r="J15" s="45">
        <v>10</v>
      </c>
      <c r="K15" s="69">
        <v>0.001</v>
      </c>
      <c r="M15" s="29">
        <f t="shared" si="4"/>
        <v>45.207322250000004</v>
      </c>
      <c r="O15" s="121"/>
      <c r="P15" s="121"/>
      <c r="Q15" s="121" t="str">
        <f>LEFT($B$2)&amp;'EB1'!$C$25&amp;$H$2&amp;'EB1'!$I$2</f>
        <v>TCARELPG</v>
      </c>
      <c r="R15" s="122" t="str">
        <f>$D$2&amp;" "&amp;$C$2&amp;" Sector - "&amp;""&amp;$H$1&amp;" "&amp;'EB1'!$X$25&amp;" - "&amp;'EB1'!$I$3</f>
        <v>Demand Technologies Transport Sector - Existing Cars - LPG</v>
      </c>
      <c r="S15" s="117" t="s">
        <v>183</v>
      </c>
      <c r="T15" s="117" t="str">
        <f t="shared" si="3"/>
        <v>000_Units</v>
      </c>
      <c r="U15" s="121"/>
      <c r="V15" s="117" t="s">
        <v>145</v>
      </c>
      <c r="W15" s="121"/>
    </row>
    <row r="16" spans="2:23" ht="12.75">
      <c r="B16" t="str">
        <f t="shared" si="0"/>
        <v>TCAREGSL</v>
      </c>
      <c r="C16" t="str">
        <f t="shared" si="1"/>
        <v>TRAGSL</v>
      </c>
      <c r="D16" t="str">
        <f t="shared" si="2"/>
        <v>DTCAR</v>
      </c>
      <c r="E16" s="63">
        <f>('EB1'!J$9*'EB1'!$J$25*F16/(K16*G16))*1.01</f>
        <v>84109.849043478273</v>
      </c>
      <c r="F16" s="68">
        <v>0.40</v>
      </c>
      <c r="G16" s="62">
        <v>11.50</v>
      </c>
      <c r="H16" s="67">
        <v>1.25</v>
      </c>
      <c r="I16" s="67">
        <v>0.15</v>
      </c>
      <c r="J16" s="45">
        <v>10</v>
      </c>
      <c r="K16" s="69">
        <v>0.001</v>
      </c>
      <c r="M16" s="29">
        <f t="shared" si="4"/>
        <v>1209.07908</v>
      </c>
      <c r="O16" s="121"/>
      <c r="P16" s="121"/>
      <c r="Q16" s="121" t="str">
        <f>LEFT($B$2)&amp;'EB1'!$C$25&amp;$H$2&amp;'EB1'!$J$2</f>
        <v>TCAREGSL</v>
      </c>
      <c r="R16" s="121" t="str">
        <f>$D$2&amp;" "&amp;$C$2&amp;" Sector - "&amp;""&amp;$H$1&amp;" "&amp;'EB1'!$X$25&amp;" - "&amp;'EB1'!$J$3</f>
        <v>Demand Technologies Transport Sector - Existing Cars - Motor spirit</v>
      </c>
      <c r="S16" s="117" t="s">
        <v>183</v>
      </c>
      <c r="T16" s="117" t="str">
        <f t="shared" si="3"/>
        <v>000_Units</v>
      </c>
      <c r="U16" s="121"/>
      <c r="V16" s="117" t="s">
        <v>145</v>
      </c>
      <c r="W16" s="121"/>
    </row>
    <row r="17" spans="2:23" ht="12.75">
      <c r="B17" t="str">
        <f>Q17</f>
        <v>TCAREBIO</v>
      </c>
      <c r="C17" t="str">
        <f>$B$2&amp;RIGHT(B17,3)</f>
        <v>TRABIO</v>
      </c>
      <c r="D17" t="str">
        <f t="shared" si="2"/>
        <v>DTCAR</v>
      </c>
      <c r="E17" s="63">
        <f>('EB1'!O$9*'EB1'!$O$25*F17/(K17*G17))*1.01</f>
        <v>3181.5</v>
      </c>
      <c r="F17" s="68">
        <v>0.40</v>
      </c>
      <c r="G17" s="62">
        <v>11.50</v>
      </c>
      <c r="H17" s="67">
        <v>1.25</v>
      </c>
      <c r="I17" s="67">
        <v>0.15</v>
      </c>
      <c r="J17" s="45">
        <v>10</v>
      </c>
      <c r="K17" s="69">
        <v>0.001</v>
      </c>
      <c r="M17" s="29">
        <f>E17*G17*K17*H17</f>
        <v>45.734062499999993</v>
      </c>
      <c r="O17" s="121"/>
      <c r="P17" s="121"/>
      <c r="Q17" s="121" t="str">
        <f>LEFT($B$2)&amp;'EB1'!$C$25&amp;$H$2&amp;'EB1'!$O$2</f>
        <v>TCAREBIO</v>
      </c>
      <c r="R17" s="121" t="str">
        <f>$D$2&amp;" "&amp;$C$2&amp;" Sector - "&amp;""&amp;$H$1&amp;" "&amp;'EB1'!$X$25&amp;" - "&amp;'EB1'!O3</f>
        <v>Demand Technologies Transport Sector - Existing Cars - Biofuels</v>
      </c>
      <c r="S17" s="117" t="s">
        <v>183</v>
      </c>
      <c r="T17" s="117" t="str">
        <f t="shared" si="3"/>
        <v>000_Units</v>
      </c>
      <c r="U17" s="121"/>
      <c r="V17" s="117" t="s">
        <v>145</v>
      </c>
      <c r="W17" s="121"/>
    </row>
    <row r="18" spans="2:23" ht="12.75">
      <c r="B18" s="6" t="str">
        <f t="shared" si="0"/>
        <v>TCAREELC</v>
      </c>
      <c r="C18" s="6" t="str">
        <f t="shared" si="1"/>
        <v>TRAELC</v>
      </c>
      <c r="D18" s="6" t="str">
        <f t="shared" si="2"/>
        <v>DTCAR</v>
      </c>
      <c r="E18" s="79">
        <f>('EB1'!U$9*'EB1'!$U$25*F18/(K18*G18))*1.01</f>
        <v>0</v>
      </c>
      <c r="F18" s="99">
        <v>0.40</v>
      </c>
      <c r="G18" s="100">
        <v>11.50</v>
      </c>
      <c r="H18" s="101">
        <v>1.25</v>
      </c>
      <c r="I18" s="101">
        <v>0.15</v>
      </c>
      <c r="J18" s="102">
        <v>10</v>
      </c>
      <c r="K18" s="103">
        <v>0.001</v>
      </c>
      <c r="L18" s="6"/>
      <c r="M18" s="104">
        <f t="shared" si="4"/>
        <v>0</v>
      </c>
      <c r="O18" s="124"/>
      <c r="P18" s="124"/>
      <c r="Q18" s="124" t="str">
        <f>LEFT($B$2)&amp;'EB1'!$C$25&amp;$H$2&amp;'EB1'!$U$2</f>
        <v>TCAREELC</v>
      </c>
      <c r="R18" s="124" t="str">
        <f>$D$2&amp;" "&amp;$C$2&amp;" Sector - "&amp;""&amp;$H$1&amp;" "&amp;'EB1'!$X$25&amp;" - "&amp;'EB1'!$U$3</f>
        <v>Demand Technologies Transport Sector - Existing Cars - Electricity</v>
      </c>
      <c r="S18" s="125" t="s">
        <v>183</v>
      </c>
      <c r="T18" s="125" t="str">
        <f t="shared" si="3"/>
        <v>000_Units</v>
      </c>
      <c r="U18" s="124"/>
      <c r="V18" s="125" t="s">
        <v>145</v>
      </c>
      <c r="W18" s="124"/>
    </row>
    <row r="19" spans="2:23" ht="12.75">
      <c r="B19" t="str">
        <f t="shared" si="0"/>
        <v>TPUBEGAS</v>
      </c>
      <c r="C19" t="str">
        <f t="shared" si="1"/>
        <v>TRAGAS</v>
      </c>
      <c r="D19" t="str">
        <f t="shared" si="5" ref="D19:D24">$Q$6</f>
        <v>DTPUB</v>
      </c>
      <c r="E19" s="63">
        <f>('EB1'!E$9*'EB1'!$E$26*F19/(K19*G19))*1.01</f>
        <v>0</v>
      </c>
      <c r="F19" s="67">
        <v>0.10</v>
      </c>
      <c r="G19" s="45">
        <v>50</v>
      </c>
      <c r="H19" s="67">
        <v>15</v>
      </c>
      <c r="I19" s="107">
        <v>0.24</v>
      </c>
      <c r="J19" s="45">
        <v>30</v>
      </c>
      <c r="K19" s="69">
        <v>0.001</v>
      </c>
      <c r="M19" s="29">
        <f>E19*G19*K19*H19</f>
        <v>0</v>
      </c>
      <c r="O19" s="121"/>
      <c r="P19" s="121"/>
      <c r="Q19" s="121" t="str">
        <f>LEFT($B$2)&amp;'EB1'!$C$26&amp;$H$2&amp;'EB1'!$E$2</f>
        <v>TPUBEGAS</v>
      </c>
      <c r="R19" s="122" t="str">
        <f>$D$2&amp;" "&amp;$C$2&amp;" Sector - "&amp;""&amp;$H$1&amp;" "&amp;'EB1'!$X$26&amp;" - "&amp;'EB1'!$E$3</f>
        <v>Demand Technologies Transport Sector - Existing Pub - Natural Gas</v>
      </c>
      <c r="S19" s="117" t="s">
        <v>183</v>
      </c>
      <c r="T19" s="117" t="str">
        <f t="shared" si="3"/>
        <v>000_Units</v>
      </c>
      <c r="U19" s="121"/>
      <c r="V19" s="117" t="s">
        <v>145</v>
      </c>
      <c r="W19" s="121"/>
    </row>
    <row r="20" spans="2:23" ht="12.75">
      <c r="B20" t="str">
        <f t="shared" si="0"/>
        <v>TPUBEDSL</v>
      </c>
      <c r="C20" t="str">
        <f t="shared" si="1"/>
        <v>TRADSL</v>
      </c>
      <c r="D20" t="str">
        <f t="shared" si="5"/>
        <v>DTPUB</v>
      </c>
      <c r="E20" s="63">
        <f>('EB1'!G$9*'EB1'!$G$26*F20/(K20*G20))*1.01</f>
        <v>1168.4545064999998</v>
      </c>
      <c r="F20" s="67">
        <v>0.15</v>
      </c>
      <c r="G20" s="62">
        <v>50</v>
      </c>
      <c r="H20" s="67">
        <v>15</v>
      </c>
      <c r="I20" s="67">
        <v>0.24</v>
      </c>
      <c r="J20" s="45">
        <v>30</v>
      </c>
      <c r="K20" s="69">
        <v>0.001</v>
      </c>
      <c r="M20" s="29">
        <f>E20*G20*K20*H20</f>
        <v>876.34087987499981</v>
      </c>
      <c r="O20" s="121"/>
      <c r="P20" s="121"/>
      <c r="Q20" s="121" t="str">
        <f>LEFT($B$2)&amp;'EB1'!$C$26&amp;$H$2&amp;'EB1'!$G$2</f>
        <v>TPUBEDSL</v>
      </c>
      <c r="R20" s="122" t="str">
        <f>$D$2&amp;" "&amp;$C$2&amp;" Sector - "&amp;""&amp;$H$1&amp;" "&amp;'EB1'!$X$26&amp;" - "&amp;'EB1'!$G$3</f>
        <v>Demand Technologies Transport Sector - Existing Pub - Diesel oil</v>
      </c>
      <c r="S20" s="117" t="s">
        <v>183</v>
      </c>
      <c r="T20" s="117" t="str">
        <f t="shared" si="3"/>
        <v>000_Units</v>
      </c>
      <c r="U20" s="121"/>
      <c r="V20" s="117" t="s">
        <v>145</v>
      </c>
      <c r="W20" s="121"/>
    </row>
    <row r="21" spans="2:23" ht="12.75">
      <c r="B21" t="str">
        <f t="shared" si="0"/>
        <v>TPUBELPG</v>
      </c>
      <c r="C21" t="str">
        <f t="shared" si="1"/>
        <v>TRALPG</v>
      </c>
      <c r="D21" t="str">
        <f t="shared" si="5"/>
        <v>DTPUB</v>
      </c>
      <c r="E21" s="63">
        <f>('EB1'!I$9*'EB1'!$I$26*F21/(K21*G21))*1.01</f>
        <v>0</v>
      </c>
      <c r="F21" s="67">
        <v>0.10</v>
      </c>
      <c r="G21" s="62">
        <v>50</v>
      </c>
      <c r="H21" s="67">
        <v>15</v>
      </c>
      <c r="I21" s="67">
        <v>0.24</v>
      </c>
      <c r="J21" s="45">
        <v>30</v>
      </c>
      <c r="K21" s="69">
        <v>0.001</v>
      </c>
      <c r="M21" s="29">
        <f>E21*G21*K21*H21</f>
        <v>0</v>
      </c>
      <c r="O21" s="121"/>
      <c r="P21" s="121"/>
      <c r="Q21" s="121" t="str">
        <f>LEFT($B$2)&amp;'EB1'!$C$26&amp;$H$2&amp;'EB1'!$I$2</f>
        <v>TPUBELPG</v>
      </c>
      <c r="R21" s="122" t="str">
        <f>$D$2&amp;" "&amp;$C$2&amp;" Sector - "&amp;""&amp;$H$1&amp;" "&amp;'EB1'!$X$26&amp;" - "&amp;'EB1'!$I$3</f>
        <v>Demand Technologies Transport Sector - Existing Pub - LPG</v>
      </c>
      <c r="S21" s="117" t="s">
        <v>183</v>
      </c>
      <c r="T21" s="117" t="str">
        <f t="shared" si="3"/>
        <v>000_Units</v>
      </c>
      <c r="U21" s="121"/>
      <c r="V21" s="117" t="s">
        <v>145</v>
      </c>
      <c r="W21" s="121"/>
    </row>
    <row r="22" spans="2:23" ht="12.75">
      <c r="B22" t="str">
        <f t="shared" si="0"/>
        <v>TPUBEGSL</v>
      </c>
      <c r="C22" t="str">
        <f t="shared" si="1"/>
        <v>TRAGSL</v>
      </c>
      <c r="D22" t="str">
        <f t="shared" si="5"/>
        <v>DTPUB</v>
      </c>
      <c r="E22" s="63">
        <f>('EB1'!J$9*'EB1'!$J$26*F22/(K22*G22))*1.01</f>
        <v>0</v>
      </c>
      <c r="F22" s="68">
        <v>0.15</v>
      </c>
      <c r="G22" s="62">
        <v>20</v>
      </c>
      <c r="H22" s="67">
        <v>15</v>
      </c>
      <c r="I22" s="67">
        <v>0.22499999999999998</v>
      </c>
      <c r="J22" s="45">
        <v>30</v>
      </c>
      <c r="K22" s="69">
        <v>0.001</v>
      </c>
      <c r="M22" s="29">
        <f t="shared" si="4"/>
        <v>0</v>
      </c>
      <c r="O22" s="121"/>
      <c r="P22" s="121"/>
      <c r="Q22" s="121" t="str">
        <f>LEFT($B$2)&amp;'EB1'!$C$26&amp;$H$2&amp;'EB1'!$J$2</f>
        <v>TPUBEGSL</v>
      </c>
      <c r="R22" s="121" t="str">
        <f>$D$2&amp;" "&amp;$C$2&amp;" Sector - "&amp;""&amp;$H$1&amp;" "&amp;'EB1'!$X$26&amp;" - "&amp;'EB1'!$J$3</f>
        <v>Demand Technologies Transport Sector - Existing Pub - Motor spirit</v>
      </c>
      <c r="S22" s="117" t="s">
        <v>183</v>
      </c>
      <c r="T22" s="117" t="str">
        <f t="shared" si="3"/>
        <v>000_Units</v>
      </c>
      <c r="U22" s="121"/>
      <c r="V22" s="117" t="s">
        <v>145</v>
      </c>
      <c r="W22" s="121"/>
    </row>
    <row r="23" spans="2:23" ht="12.75">
      <c r="B23" t="str">
        <f>Q23</f>
        <v>TPUBEBIO</v>
      </c>
      <c r="C23" t="str">
        <f>$B$2&amp;RIGHT(B23,3)</f>
        <v>TRABIO</v>
      </c>
      <c r="D23" t="str">
        <f t="shared" si="5"/>
        <v>DTPUB</v>
      </c>
      <c r="E23" s="63">
        <f>('EB1'!O$9*'EB1'!$O$26*F23/(K23*G23))*1.01</f>
        <v>228.67031249999999</v>
      </c>
      <c r="F23" s="68">
        <v>0.15</v>
      </c>
      <c r="G23" s="62">
        <v>20</v>
      </c>
      <c r="H23" s="67">
        <v>15</v>
      </c>
      <c r="I23" s="67">
        <v>0.22499999999999998</v>
      </c>
      <c r="J23" s="45">
        <v>30</v>
      </c>
      <c r="K23" s="69">
        <v>0.001</v>
      </c>
      <c r="M23" s="29">
        <f>E23*G23*K23*H23</f>
        <v>68.60109374999999</v>
      </c>
      <c r="O23" s="121"/>
      <c r="P23" s="121"/>
      <c r="Q23" s="121" t="str">
        <f>LEFT($B$2)&amp;'EB1'!$C$26&amp;$H$2&amp;'EB1'!$O$2</f>
        <v>TPUBEBIO</v>
      </c>
      <c r="R23" s="121" t="str">
        <f>$D$2&amp;" "&amp;$C$2&amp;" Sector - "&amp;""&amp;$H$1&amp;" "&amp;'EB1'!$X$26&amp;" - "&amp;'EB1'!O3</f>
        <v>Demand Technologies Transport Sector - Existing Pub - Biofuels</v>
      </c>
      <c r="S23" s="117" t="s">
        <v>183</v>
      </c>
      <c r="T23" s="117" t="str">
        <f t="shared" si="3"/>
        <v>000_Units</v>
      </c>
      <c r="U23" s="121"/>
      <c r="V23" s="117" t="s">
        <v>145</v>
      </c>
      <c r="W23" s="121"/>
    </row>
    <row r="24" spans="2:23" ht="12.75">
      <c r="B24" s="6" t="str">
        <f t="shared" si="0"/>
        <v>TPUBEELC</v>
      </c>
      <c r="C24" s="6" t="str">
        <f t="shared" si="1"/>
        <v>TRAELC</v>
      </c>
      <c r="D24" s="6" t="str">
        <f t="shared" si="5"/>
        <v>DTPUB</v>
      </c>
      <c r="E24" s="79">
        <f>('EB1'!U$9*'EB1'!$U$26*F24/(K24*G24))*1.01</f>
        <v>40.294757999999995</v>
      </c>
      <c r="F24" s="99">
        <v>0.03</v>
      </c>
      <c r="G24" s="100">
        <v>100</v>
      </c>
      <c r="H24" s="101">
        <v>200</v>
      </c>
      <c r="I24" s="101">
        <v>0.22499999999999998</v>
      </c>
      <c r="J24" s="102">
        <v>30</v>
      </c>
      <c r="K24" s="103">
        <v>0.001</v>
      </c>
      <c r="M24" s="104">
        <f>E24*G24*K24*H24</f>
        <v>805.89515999999981</v>
      </c>
      <c r="O24" s="124"/>
      <c r="P24" s="124"/>
      <c r="Q24" s="124" t="str">
        <f>LEFT($B$2)&amp;'EB1'!$C$26&amp;$H$2&amp;'EB1'!$U$2</f>
        <v>TPUBEELC</v>
      </c>
      <c r="R24" s="124" t="str">
        <f>$D$2&amp;" "&amp;$C$2&amp;" Sector - "&amp;""&amp;$H$1&amp;" "&amp;'EB1'!$X$26&amp;" - "&amp;'EB1'!$U$3</f>
        <v>Demand Technologies Transport Sector - Existing Pub - Electricity</v>
      </c>
      <c r="S24" s="125" t="s">
        <v>183</v>
      </c>
      <c r="T24" s="125" t="str">
        <f t="shared" si="3"/>
        <v>000_Units</v>
      </c>
      <c r="U24" s="124"/>
      <c r="V24" s="125" t="s">
        <v>145</v>
      </c>
      <c r="W24" s="124"/>
    </row>
    <row r="27" spans="2:13" ht="12.75">
      <c r="B27" s="45"/>
      <c r="C27" s="1" t="s">
        <v>159</v>
      </c>
      <c r="K27" s="1"/>
      <c r="L27" s="1"/>
      <c r="M27" s="1"/>
    </row>
    <row r="28" spans="2:14" ht="12.75">
      <c r="B28" s="64"/>
      <c r="C28" s="1" t="s">
        <v>160</v>
      </c>
      <c r="K28" s="1"/>
      <c r="L28" s="1"/>
      <c r="M28" s="1"/>
      <c r="N28" s="1"/>
    </row>
    <row r="29" spans="11:14" ht="12.75">
      <c r="K29" s="1"/>
      <c r="L29" s="1"/>
      <c r="M29" s="1"/>
      <c r="N29" s="1"/>
    </row>
    <row r="30" spans="11:14" ht="12.75">
      <c r="K30" s="1"/>
      <c r="L30" s="1"/>
      <c r="M30" s="1"/>
      <c r="N30" s="1"/>
    </row>
    <row r="31" spans="5:14" ht="12.75">
      <c r="E31" s="1"/>
      <c r="N31" s="1"/>
    </row>
    <row r="32" spans="5:5" ht="12.75">
      <c r="E32" s="1"/>
    </row>
  </sheetData>
  <pageMargins left="0.7" right="0.7" top="0.75" bottom="0.75" header="0.3" footer="0.3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24"/>
  <sheetViews>
    <sheetView workbookViewId="0" topLeftCell="A1">
      <selection pane="topLeft" activeCell="K28" sqref="K28"/>
    </sheetView>
  </sheetViews>
  <sheetFormatPr defaultRowHeight="12.75"/>
  <cols>
    <col min="1" max="1" width="2" bestFit="1" customWidth="1"/>
    <col min="2" max="2" width="12.5714285714286" customWidth="1"/>
    <col min="3" max="3" width="13.1428571428571" customWidth="1"/>
    <col min="4" max="4" width="11.5714285714286" customWidth="1"/>
    <col min="5" max="5" width="11.2857142857143" customWidth="1"/>
    <col min="6" max="6" width="2" bestFit="1" customWidth="1"/>
    <col min="7" max="7" width="13.1428571428571" bestFit="1" customWidth="1"/>
    <col min="8" max="8" width="13.5714285714286" customWidth="1"/>
    <col min="9" max="9" width="5" bestFit="1" customWidth="1"/>
  </cols>
  <sheetData>
    <row r="1" spans="2:7" ht="15">
      <c r="B1" s="8" t="s">
        <v>73</v>
      </c>
      <c r="C1" s="8" t="s">
        <v>74</v>
      </c>
      <c r="D1" s="8" t="s">
        <v>75</v>
      </c>
      <c r="E1" s="8" t="s">
        <v>77</v>
      </c>
      <c r="G1" s="8" t="s">
        <v>78</v>
      </c>
    </row>
    <row r="2" spans="2:7" ht="15.75">
      <c r="B2" s="10" t="s">
        <v>83</v>
      </c>
      <c r="C2" s="10"/>
      <c r="D2" s="10"/>
      <c r="E2" s="10" t="str">
        <f>DemTechs_TRA!S5</f>
        <v>BPkm</v>
      </c>
      <c r="G2" s="10" t="str">
        <f>'EB1'!Y2</f>
        <v>M€2005</v>
      </c>
    </row>
    <row r="5" spans="3:10" ht="12.75">
      <c r="C5" s="3" t="s">
        <v>13</v>
      </c>
      <c r="D5" s="3"/>
      <c r="E5" s="1"/>
      <c r="I5" s="3" t="s">
        <v>13</v>
      </c>
      <c r="J5" s="1"/>
    </row>
    <row r="6" spans="2:10" ht="12.75">
      <c r="B6" s="2" t="s">
        <v>80</v>
      </c>
      <c r="C6" s="2" t="s">
        <v>0</v>
      </c>
      <c r="D6" s="2" t="s">
        <v>152</v>
      </c>
      <c r="E6" s="78">
        <v>2005</v>
      </c>
      <c r="G6" s="2" t="s">
        <v>80</v>
      </c>
      <c r="H6" s="2" t="s">
        <v>0</v>
      </c>
      <c r="I6" s="2" t="s">
        <v>119</v>
      </c>
      <c r="J6" s="2">
        <v>2005</v>
      </c>
    </row>
    <row r="7" spans="2:10" ht="22.5">
      <c r="B7" s="16" t="s">
        <v>81</v>
      </c>
      <c r="C7" s="16" t="s">
        <v>82</v>
      </c>
      <c r="D7" s="16" t="s">
        <v>153</v>
      </c>
      <c r="E7" s="74" t="s">
        <v>36</v>
      </c>
      <c r="G7" s="16" t="s">
        <v>81</v>
      </c>
      <c r="H7" s="16" t="s">
        <v>82</v>
      </c>
      <c r="I7" s="16"/>
      <c r="J7" s="16"/>
    </row>
    <row r="8" spans="2:10" ht="13.5" thickBot="1">
      <c r="B8" s="15" t="s">
        <v>91</v>
      </c>
      <c r="C8" s="15"/>
      <c r="D8" s="15"/>
      <c r="E8" s="13" t="str">
        <f>E2</f>
        <v>BPkm</v>
      </c>
      <c r="G8" s="15" t="s">
        <v>91</v>
      </c>
      <c r="H8" s="15"/>
      <c r="I8" s="15"/>
      <c r="J8" s="15"/>
    </row>
    <row r="9" spans="2:10" ht="12.75">
      <c r="B9" t="s">
        <v>35</v>
      </c>
      <c r="C9" t="str">
        <f>DemTechs_TRA!$Q$5</f>
        <v>DTCAR</v>
      </c>
      <c r="D9" s="1" t="s">
        <v>184</v>
      </c>
      <c r="E9" s="62">
        <f>SUM(DemTechs_TRA!M13:M18)</f>
        <v>3100.5969515937504</v>
      </c>
      <c r="G9" s="1" t="s">
        <v>120</v>
      </c>
      <c r="H9" t="str">
        <f>DemTechs_TRA!$Q$5</f>
        <v>DTCAR</v>
      </c>
      <c r="I9" s="23" t="s">
        <v>121</v>
      </c>
      <c r="J9" s="45">
        <v>0.25</v>
      </c>
    </row>
    <row r="10" spans="2:10" ht="12.75">
      <c r="B10" t="s">
        <v>35</v>
      </c>
      <c r="C10" t="str">
        <f>DemTechs_TRA!$Q$6</f>
        <v>DTPUB</v>
      </c>
      <c r="D10" s="1" t="s">
        <v>184</v>
      </c>
      <c r="E10" s="62">
        <f>SUM(DemTechs_TRA!M19:M24)</f>
        <v>1750.8371336249998</v>
      </c>
      <c r="G10" s="1" t="s">
        <v>120</v>
      </c>
      <c r="H10" t="str">
        <f>DemTechs_TRA!$Q$5</f>
        <v>DTCAR</v>
      </c>
      <c r="I10" s="23" t="s">
        <v>122</v>
      </c>
      <c r="J10" s="45">
        <v>0.25</v>
      </c>
    </row>
    <row r="11" spans="7:10" ht="12.75">
      <c r="G11" s="1" t="s">
        <v>120</v>
      </c>
      <c r="H11" t="str">
        <f>DemTechs_TRA!$Q$5</f>
        <v>DTCAR</v>
      </c>
      <c r="I11" s="23" t="s">
        <v>123</v>
      </c>
      <c r="J11" s="45">
        <v>0.25</v>
      </c>
    </row>
    <row r="12" spans="5:10" ht="12.75">
      <c r="E12" s="26"/>
      <c r="G12" s="27" t="s">
        <v>120</v>
      </c>
      <c r="H12" s="6" t="str">
        <f>DemTechs_TRA!$Q$5</f>
        <v>DTCAR</v>
      </c>
      <c r="I12" s="28" t="s">
        <v>124</v>
      </c>
      <c r="J12" s="102">
        <v>0.25</v>
      </c>
    </row>
    <row r="13" spans="5:10" ht="12.75">
      <c r="E13" s="7"/>
      <c r="G13" s="1" t="s">
        <v>120</v>
      </c>
      <c r="H13" t="str">
        <f>DemTechs_TRA!$Q$6</f>
        <v>DTPUB</v>
      </c>
      <c r="I13" s="23" t="s">
        <v>121</v>
      </c>
      <c r="J13" s="45">
        <v>0.25</v>
      </c>
    </row>
    <row r="14" spans="7:10" ht="12.75">
      <c r="G14" s="1" t="s">
        <v>120</v>
      </c>
      <c r="H14" t="str">
        <f>DemTechs_TRA!$Q$6</f>
        <v>DTPUB</v>
      </c>
      <c r="I14" s="23" t="s">
        <v>122</v>
      </c>
      <c r="J14" s="45">
        <v>0.25</v>
      </c>
    </row>
    <row r="15" spans="5:10" ht="12.75">
      <c r="E15" s="7"/>
      <c r="G15" s="1" t="s">
        <v>120</v>
      </c>
      <c r="H15" t="str">
        <f>DemTechs_TRA!$Q$6</f>
        <v>DTPUB</v>
      </c>
      <c r="I15" s="23" t="s">
        <v>123</v>
      </c>
      <c r="J15" s="45">
        <v>0.25</v>
      </c>
    </row>
    <row r="16" spans="7:10" ht="12.75">
      <c r="G16" s="1" t="s">
        <v>120</v>
      </c>
      <c r="H16" t="str">
        <f>DemTechs_TRA!$Q$6</f>
        <v>DTPUB</v>
      </c>
      <c r="I16" s="23" t="s">
        <v>124</v>
      </c>
      <c r="J16" s="45">
        <v>0.25</v>
      </c>
    </row>
    <row r="23" spans="2:3" ht="12.75">
      <c r="B23" s="45"/>
      <c r="C23" s="1" t="s">
        <v>159</v>
      </c>
    </row>
    <row r="24" spans="2:3" ht="12.75">
      <c r="B24" s="64"/>
      <c r="C24" s="1" t="s">
        <v>160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J28"/>
  <sheetViews>
    <sheetView tabSelected="1" workbookViewId="0" topLeftCell="A1">
      <selection pane="topLeft" activeCell="F28" sqref="F28"/>
    </sheetView>
  </sheetViews>
  <sheetFormatPr defaultRowHeight="12.75"/>
  <cols>
    <col min="2" max="2" width="14.4285714285714" customWidth="1"/>
  </cols>
  <sheetData>
    <row r="3" spans="2:8" ht="17.45" customHeight="1">
      <c r="B3" s="35" t="s">
        <v>149</v>
      </c>
      <c r="C3" s="35"/>
      <c r="D3" s="35"/>
      <c r="E3" s="35"/>
      <c r="F3" s="35"/>
      <c r="G3" s="35"/>
      <c r="H3" s="35"/>
    </row>
    <row r="4" spans="2:7" ht="17.45" customHeight="1">
      <c r="B4" s="36"/>
      <c r="C4" s="36"/>
      <c r="D4" s="36"/>
      <c r="E4" s="36"/>
      <c r="F4" s="36"/>
      <c r="G4" s="36"/>
    </row>
    <row r="5" spans="2:3" ht="18">
      <c r="B5" s="33" t="s">
        <v>150</v>
      </c>
      <c r="C5" s="34"/>
    </row>
    <row r="6" spans="2:9" ht="13.5" thickBot="1">
      <c r="B6" s="38" t="s">
        <v>0</v>
      </c>
      <c r="C6" s="38" t="str">
        <f>Sector_Fuels_TRA!L5</f>
        <v>TRAGAS</v>
      </c>
      <c r="D6" s="38" t="str">
        <f>Sector_Fuels_TRA!L6</f>
        <v>TRADSL</v>
      </c>
      <c r="E6" s="38" t="str">
        <f>Sector_Fuels_TRA!L7</f>
        <v>TRALPG</v>
      </c>
      <c r="F6" s="38" t="str">
        <f>Sector_Fuels_TRA!L8</f>
        <v>TRAGSL</v>
      </c>
      <c r="G6" s="37"/>
      <c r="H6" s="37"/>
      <c r="I6" s="1"/>
    </row>
    <row r="7" spans="2:9" ht="13.5" thickBot="1">
      <c r="B7" s="15" t="s">
        <v>91</v>
      </c>
      <c r="C7" s="15" t="s">
        <v>158</v>
      </c>
      <c r="D7" s="15" t="s">
        <v>158</v>
      </c>
      <c r="E7" s="15" t="s">
        <v>158</v>
      </c>
      <c r="F7" s="15" t="s">
        <v>158</v>
      </c>
      <c r="G7" s="105"/>
      <c r="H7" s="105"/>
      <c r="I7" s="127" t="s">
        <v>190</v>
      </c>
    </row>
    <row r="8" spans="2:9" ht="12.75">
      <c r="B8" s="37" t="str">
        <f>DemTechs_TRA!Q7</f>
        <v>TRACO2</v>
      </c>
      <c r="C8" s="67">
        <v>56.10</v>
      </c>
      <c r="D8" s="67">
        <v>75</v>
      </c>
      <c r="E8" s="67">
        <v>64</v>
      </c>
      <c r="F8" s="67">
        <v>73</v>
      </c>
      <c r="G8" s="106"/>
      <c r="H8" s="106"/>
      <c r="I8" s="1"/>
    </row>
    <row r="9" spans="9:9" ht="12.75">
      <c r="I9" t="s">
        <v>189</v>
      </c>
    </row>
    <row r="11" spans="9:9" ht="12.75">
      <c r="I11" t="s">
        <v>189</v>
      </c>
    </row>
    <row r="12" spans="9:9" ht="12.75">
      <c r="I12" t="s">
        <v>189</v>
      </c>
    </row>
    <row r="14" spans="10:10" ht="12.75">
      <c r="J14" t="s">
        <v>188</v>
      </c>
    </row>
    <row r="20" spans="9:9" ht="12.75">
      <c r="I20" t="s">
        <v>187</v>
      </c>
    </row>
    <row r="23" spans="2:8" ht="12.75">
      <c r="B23" s="45"/>
      <c r="C23" s="1" t="s">
        <v>159</v>
      </c>
      <c r="H23" t="s">
        <v>186</v>
      </c>
    </row>
    <row r="24" spans="2:3" ht="12.75">
      <c r="B24" s="64"/>
      <c r="C24" s="1" t="s">
        <v>160</v>
      </c>
    </row>
    <row r="28" spans="6:9" ht="12.75">
      <c r="F28" t="s">
        <v>191</v>
      </c>
      <c r="I28" t="s">
        <v>185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EB1</vt:lpstr>
      <vt:lpstr>RES_TRA</vt:lpstr>
      <vt:lpstr>Sector_Fuels_TRA</vt:lpstr>
      <vt:lpstr>DemTechs_TRA</vt:lpstr>
      <vt:lpstr>Demands</vt:lpstr>
      <vt:lpstr>Emi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KanORS-EMR Business Standard</cp:lastModifiedBy>
  <cp:lastPrinted>2004-11-16T14:57:57Z</cp:lastPrinted>
  <dcterms:created xsi:type="dcterms:W3CDTF">2000-12-13T15:53:11Z</dcterms:created>
  <dcterms:modified xsi:type="dcterms:W3CDTF">2026-07-22T09:59:30Z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29033839702606</vt:r8>
  </property>
  <property fmtid="{D5CDD505-2E9C-101B-9397-08002B2CF9AE}" pid="3" name="VedaExternalLinksUpdated">
    <vt:lpwstr>2026-08-26T09:20:46.4096856Z</vt:lpwstr>
  </property>
</Properties>
</file>